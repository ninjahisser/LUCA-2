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C:\Users\sethv\Documents\GitHub\LUCA-2\"/>
    </mc:Choice>
  </mc:AlternateContent>
  <xr:revisionPtr revIDLastSave="0" documentId="13_ncr:1_{14E97567-AB2E-47B7-9160-660DED0036A6}" xr6:coauthVersionLast="47" xr6:coauthVersionMax="47" xr10:uidLastSave="{00000000-0000-0000-0000-000000000000}"/>
  <bookViews>
    <workbookView xWindow="-98" yWindow="-98" windowWidth="21795" windowHeight="12975" firstSheet="22" activeTab="25"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<sst xmlns="http://schemas.openxmlformats.org/spreadsheetml/2006/main" count="1706" uniqueCount="432">
  <si>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</si>
  <si>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</si>
  <si>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</si>
  <si>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</si>
  <si>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</si>
  <si>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</si>
  <si>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</si>
  <si>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</si>
  <si>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</si>
  <si>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</si>
  <si>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</si>
  <si>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</si>
  <si>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</si>
  <si>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</si>
  <si>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</si>
  <si>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</si>
  <si>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</si>
  <si>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</si>
  <si>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</si>
  <si>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</si>
  <si>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</si>
  <si>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</si>
  <si>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</si>
  <si>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</si>
  <si>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</si>
  <si>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</si>
  <si>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</si>
  <si>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</si>
  <si>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</si>
  <si>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</si>
  <si>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</si>
  <si>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</si>
  <si>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</si>
  <si>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</si>
  <si>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</si>
  <si>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</si>
  <si>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</si>
  <si>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</si>
  <si>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</si>
  <si>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</si>
  <si>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</si>
  <si>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</si>
  <si>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</si>
  <si>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</si>
  <si>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</si>
  <si>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</si>
  <si>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</si>
  <si>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</si>
  <si>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</si>
  <si>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</si>
  <si>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</si>
  <si>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</si>
  <si>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</si>
  <si>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</si>
  <si>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</si>
  <si>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</si>
  <si>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</si>
  <si>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</si>
  <si>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</si>
  <si>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</si>
  <si>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</si>
  <si>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</si>
  <si>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</si>
  <si>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</si>
  <si>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</si>
  <si>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</si>
  <si>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</si>
  <si>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</si>
  <si>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</si>
  <si>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</si>
  <si>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</si>
  <si>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</si>
  <si>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</si>
  <si>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</si>
  <si>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</si>
  <si>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</si>
  <si>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</si>
  <si>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</si>
  <si>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</si>
  <si>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</si>
  <si>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</si>
  <si>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</si>
  <si>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</si>
  <si>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</si>
  <si>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</si>
  <si>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</si>
  <si>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</si>
  <si>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</si>
  <si>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</si>
  <si>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</si>
  <si>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</si>
  <si>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</si>
  <si>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</si>
  <si>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</si>
  <si>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</si>
  <si>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</si>
  <si>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</si>
  <si>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</si>
  <si>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</si>
  <si>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</si>
  <si>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</si>
  <si>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</si>
  <si>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</si>
  <si>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</si>
  <si>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</si>
  <si>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</si>
  <si>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</si>
  <si>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</si>
  <si>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</si>
  <si>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</si>
  <si>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</si>
  <si>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</si>
  <si>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</si>
  <si>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</si>
  <si>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</si>
  <si>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</si>
  <si>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</si>
  <si>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</si>
  <si>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</si>
  <si>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</si>
  <si>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</si>
  <si>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</si>
  <si>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</si>
  <si>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</si>
  <si>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</si>
  <si>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</si>
  <si>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</si>
  <si>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</si>
  <si>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</si>
  <si>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</si>
  <si>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</si>
  <si>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</si>
  <si>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</si>
  <si>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</si>
  <si>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</si>
  <si>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</si>
  <si>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</si>
  <si>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</si>
  <si>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</si>
  <si>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</si>
  <si>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</si>
  <si>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</si>
  <si>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</si>
  <si>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</si>
  <si>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</si>
  <si>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</si>
  <si>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</si>
  <si>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</si>
  <si>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</si>
  <si>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</si>
  <si>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</si>
  <si>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</si>
  <si>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</si>
  <si>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</si>
  <si>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</si>
  <si>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</si>
  <si>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</si>
  <si>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</si>
  <si>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</si>
  <si>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</si>
  <si>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</si>
  <si>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</si>
  <si>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</si>
  <si>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</si>
  <si>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</si>
  <si>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</si>
  <si>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</si>
  <si>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</si>
  <si>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</si>
  <si>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</si>
  <si>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</si>
  <si>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</si>
  <si>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</si>
  <si>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</si>
  <si>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</si>
  <si>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</si>
  <si>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</si>
  <si>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</si>
  <si>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</si>
  <si>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</si>
  <si>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</si>
  <si>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</si>
  <si>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</si>
  <si>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</si>
  <si>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</si>
  <si>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</si>
  <si>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</si>
  <si>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</si>
  <si>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</si>
  <si>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</si>
  <si>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</si>
  <si>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</si>
  <si>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</si>
  <si>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</si>
  <si>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</si>
  <si>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</si>
  <si>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</si>
  <si>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</si>
  <si>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</si>
  <si>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</si>
  <si>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</si>
  <si>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</si>
  <si>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</si>
  <si>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</si>
  <si>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</si>
  <si>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</si>
  <si>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</si>
  <si>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</si>
  <si>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</si>
  <si>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</si>
  <si>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</si>
  <si>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</si>
  <si>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</si>
  <si>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</si>
  <si>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</si>
  <si>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</si>
  <si>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</si>
  <si>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</si>
  <si>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</si>
  <si>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</si>
  <si>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</si>
  <si>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</si>
  <si>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</si>
  <si>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</si>
  <si>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</si>
  <si>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</si>
  <si>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</si>
  <si>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</si>
  <si>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</si>
  <si>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</si>
  <si>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</si>
  <si>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</si>
  <si>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</si>
  <si>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</si>
  <si>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</si>
  <si>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</si>
  <si>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</si>
  <si>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</si>
  <si>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</si>
  <si>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</si>
  <si>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</si>
  <si>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</si>
  <si>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</si>
  <si>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</si>
  <si>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</si>
  <si>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</si>
  <si>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</si>
  <si>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</si>
  <si>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</si>
  <si>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</si>
  <si>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</si>
  <si>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</si>
  <si>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</si>
  <si>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</si>
  <si>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</si>
  <si>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</si>
  <si>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</si>
  <si>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</si>
  <si>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</si>
  <si>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</si>
  <si>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</si>
  <si>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</si>
  <si>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</si>
  <si>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</si>
  <si>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</si>
  <si>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</si>
  <si>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</si>
  <si>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</si>
  <si>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</si>
  <si>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</si>
  <si>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</si>
  <si>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</si>
  <si>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</si>
  <si>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</si>
  <si>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</si>
  <si>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</si>
  <si>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</si>
  <si>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</si>
  <si>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</si>
  <si>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</si>
  <si>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</si>
  <si>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</si>
  <si>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</si>
  <si>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</si>
  <si>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</si>
  <si>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</si>
  <si>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</si>
  <si>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</si>
  <si>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</si>
  <si>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</si>
  <si>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</si>
  <si>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</si>
  <si>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</si>
  <si>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</si>
  <si>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</si>
  <si>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</si>
  <si>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</si>
  <si>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</si>
  <si>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</si>
  <si>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</si>
  <si>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</si>
  <si>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</si>
  <si>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</si>
  <si>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</si>
  <si>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</si>
  <si>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</si>
  <si>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</si>
  <si>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</si>
  <si>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</si>
  <si>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</si>
  <si>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</si>
  <si>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</si>
  <si>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</si>
  <si>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</si>
  <si>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</si>
  <si>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</si>
  <si>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</si>
  <si>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</si>
  <si>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</si>
  <si>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</si>
  <si>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</si>
  <si>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</si>
  <si>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</si>
  <si>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</si>
  <si>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</si>
  <si>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</si>
  <si>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</si>
  <si>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</si>
  <si>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</si>
  <si>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</si>
  <si>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</si>
  <si>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</si>
  <si>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</si>
  <si>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</si>
  <si>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</si>
  <si>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</si>
  <si>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</si>
  <si>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</si>
  <si>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</si>
  <si>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</si>
  <si>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</si>
  <si>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</si>
  <si>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</si>
  <si>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</si>
  <si>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</si>
  <si>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</si>
  <si>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</si>
  <si>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</si>
  <si>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</si>
  <si>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</si>
  <si>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</si>
  <si>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</si>
  <si>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</si>
  <si>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</si>
  <si>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</si>
  <si>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</si>
  <si>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</si>
  <si>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</si>
  <si>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</si>
  <si>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</si>
  <si>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</si>
  <si>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</si>
  <si>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</si>
  <si>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</si>
  <si>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</si>
  <si>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</si>
  <si>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</si>
  <si>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</si>
  <si>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</si>
  <si>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</si>
  <si>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</si>
  <si>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</si>
  <si>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</si>
  <si>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</si>
  <si>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</si>
  <si>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</si>
  <si>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</si>
  <si>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</si>
  <si>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</si>
  <si>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</si>
  <si>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</si>
  <si>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</si>
  <si>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</si>
  <si>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</si>
  <si>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</si>
  <si>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</si>
  <si>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</si>
  <si>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</si>
  <si>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</si>
  <si>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</si>
  <si>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</si>
  <si>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</si>
  <si>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</si>
  <si>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</si>
  <si>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</si>
  <si>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</si>
  <si>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</si>
  <si>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</si>
  <si>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</si>
  <si>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</si>
  <si>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</si>
  <si>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</si>
  <si>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</si>
  <si>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</si>
  <si>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</si>
  <si>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</si>
  <si>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</si>
  <si>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</si>
  <si>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</si>
  <si>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</si>
  <si>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</si>
  <si>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</si>
  <si>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Interactieve prototype in Figma/XD</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</si>
  <si>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</si>
  <si>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</si>
  <si>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</si>
  <si>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</si>
  <si>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</si>
  <si>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</si>
  <si>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</si>
  <si>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</si>
  <si>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</si>
  <si>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</si>
  <si>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Storyboard / animatics feedback</t>
  </si>
  <si>
    <t>OVERLAP WEEK! (mogelijkheid tot afwerken en laatste feedback)</t>
  </si>
  <si>
    <t>14:00 DEADLINE</t>
  </si>
  <si>
    <t>boek net + lijm meedoen</t>
  </si>
  <si>
    <t>OM 15.45U AAN DOK NOORD STAAN KARAOKE</t>
  </si>
  <si>
    <t>Resolutie terug zetten laptop</t>
  </si>
  <si>
    <t>korte essayfilm ding maken</t>
  </si>
  <si>
    <t>common terre ding?</t>
  </si>
  <si>
    <t>SD: 2 favorieten verder uitwerken en op feedback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</si>
</sst>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 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4.25" x14ac:dyDescent="0.45"/>
  <cols>
    <col min="1" max="1" width="14" customWidth="1"/>
    <col min="2" max="2" width="42" customWidth="1"/>
  </cols>
  <sheetData>
    <row r="1" spans="1:2" x14ac:dyDescent="0.45">
      <c r="A1" s="26" t="s">
        <v>83</v>
      </c>
      <c r="B1" s="26" t="s">
        <v>84</v>
      </c>
    </row>
    <row r="2" spans="1:2" x14ac:dyDescent="0.45">
      <c r="A2" s="24" t="s">
        <v>20</v>
      </c>
      <c r="B2" s="25">
        <v>40</v>
      </c>
    </row>
    <row r="3" spans="1:2" x14ac:dyDescent="0.45">
      <c r="A3" s="24" t="s">
        <v>67</v>
      </c>
      <c r="B3" s="25" t="s">
        <v>96</v>
      </c>
    </row>
    <row r="4" spans="1:2" x14ac:dyDescent="0.4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v>
      </c>
      <c r="D1" s="18">
        <f>C1/Data!B2</f>
        <v>2.5000000000000001E-2</v>
      </c>
      <c r="E1" s="27"/>
    </row>
    <row r="2" spans="1:9" x14ac:dyDescent="0.45">
      <c r="A2" s="1"/>
      <c r="B2" s="1" t="s">
        <v>1</v>
      </c>
      <c r="C2" s="1" t="s">
        <v>2</v>
      </c>
      <c r="D2" s="1" t="s">
        <v>3</v>
      </c>
      <c r="E2" s="1" t="s">
        <v>4</v>
      </c>
      <c r="F2" s="1" t="s">
        <v>5</v>
      </c>
      <c r="H2" s="1" t="s">
        <v>9</v>
      </c>
    </row>
    <row r="3" spans="1:9" x14ac:dyDescent="0.45">
      <c r="A3" s="1"/>
      <c r="B3" s="8">
        <f>DATE(2024,9,23) + ((C1-1)*7)</f>
        <v>45558</v>
      </c>
      <c r="C3" s="8">
        <f>B3+1</f>
        <v>45559</v>
      </c>
      <c r="D3" s="8">
        <f>C3+1</f>
        <v>45560</v>
      </c>
      <c r="E3" s="8">
        <f>D3+1</f>
        <v>45561</v>
      </c>
      <c r="F3" s="8">
        <f>E3+1</f>
        <v>45562</v>
      </c>
      <c r="H3" s="5" t="s">
        <v>8</v>
      </c>
    </row>
    <row r="4" spans="1:9" x14ac:dyDescent="0.45">
      <c r="A4" s="3">
        <v>0.35416666666666669</v>
      </c>
      <c r="B4" s="9" t="s">
        <v>11</v>
      </c>
      <c r="H4" s="7" t="s">
        <v>10</v>
      </c>
    </row>
    <row r="5" spans="1:9" x14ac:dyDescent="0.45">
      <c r="A5" s="3">
        <v>0.375</v>
      </c>
      <c r="B5" s="7" t="s">
        <v>7</v>
      </c>
      <c r="H5" s="11" t="s">
        <v>22</v>
      </c>
    </row>
    <row r="6" spans="1:9" x14ac:dyDescent="0.45">
      <c r="A6" s="3">
        <v>0.39583333333333298</v>
      </c>
      <c r="B6" s="7"/>
    </row>
    <row r="7" spans="1:9" x14ac:dyDescent="0.45">
      <c r="A7" s="3">
        <v>0.41666666666666702</v>
      </c>
      <c r="B7" s="7"/>
      <c r="H7" s="1" t="s">
        <v>17</v>
      </c>
      <c r="I7" s="1"/>
    </row>
    <row r="8" spans="1:9" x14ac:dyDescent="0.45">
      <c r="A8" s="3">
        <v>0.4375</v>
      </c>
      <c r="B8" s="7"/>
      <c r="H8" s="1" t="s">
        <v>18</v>
      </c>
      <c r="I8" s="14" t="b">
        <v>0</v>
      </c>
    </row>
    <row r="9" spans="1:9" x14ac:dyDescent="0.45">
      <c r="A9" s="10">
        <v>0.44791666666666669</v>
      </c>
      <c r="B9" s="7"/>
      <c r="D9" s="6" t="s">
        <v>14</v>
      </c>
      <c r="E9" s="12" t="s">
        <v>88</v>
      </c>
    </row>
    <row r="10" spans="1:9" x14ac:dyDescent="0.45">
      <c r="A10" s="3">
        <v>0.45833333333333398</v>
      </c>
      <c r="B10" s="7"/>
      <c r="D10" s="5" t="s">
        <v>16</v>
      </c>
      <c r="E10" s="11"/>
    </row>
    <row r="11" spans="1:9" x14ac:dyDescent="0.45">
      <c r="A11" s="3">
        <v>0.47916666666666702</v>
      </c>
      <c r="B11" s="7"/>
      <c r="D11" s="5"/>
      <c r="E11" s="11"/>
    </row>
    <row r="12" spans="1:9" x14ac:dyDescent="0.45">
      <c r="A12" s="3">
        <v>0.5</v>
      </c>
      <c r="B12" s="7"/>
      <c r="D12" s="5"/>
      <c r="E12" s="11"/>
    </row>
    <row r="13" spans="1:9" x14ac:dyDescent="0.45">
      <c r="A13" s="3">
        <v>0.53125</v>
      </c>
      <c r="B13" s="7"/>
      <c r="D13" s="5"/>
      <c r="E13" s="11"/>
    </row>
    <row r="14" spans="1:9" x14ac:dyDescent="0.45">
      <c r="A14" s="3">
        <v>0.54166666666666696</v>
      </c>
    </row>
    <row r="15" spans="1:9" x14ac:dyDescent="0.45">
      <c r="A15" s="3">
        <v>0.5625</v>
      </c>
    </row>
    <row r="16" spans="1:9" x14ac:dyDescent="0.45">
      <c r="A16" s="3">
        <v>0.58333333333333304</v>
      </c>
      <c r="B16" s="6" t="s">
        <v>6</v>
      </c>
      <c r="C16" s="6" t="s">
        <v>12</v>
      </c>
      <c r="D16" s="9" t="s">
        <v>15</v>
      </c>
      <c r="E16" s="20" t="s">
        <v>21</v>
      </c>
      <c r="F16" s="6" t="s">
        <v>12</v>
      </c>
    </row>
    <row r="17" spans="1:6" x14ac:dyDescent="0.45">
      <c r="A17" s="3">
        <v>0.60416666666666696</v>
      </c>
      <c r="B17" s="5" t="s">
        <v>7</v>
      </c>
      <c r="C17" s="5" t="s">
        <v>13</v>
      </c>
      <c r="D17" s="7" t="s">
        <v>13</v>
      </c>
      <c r="E17" s="20" t="s">
        <v>50</v>
      </c>
      <c r="F17" s="5" t="s">
        <v>13</v>
      </c>
    </row>
    <row r="18" spans="1:6" x14ac:dyDescent="0.45">
      <c r="A18" s="3">
        <v>0.625</v>
      </c>
      <c r="B18" s="5" t="s">
        <v>55</v>
      </c>
      <c r="C18" s="5"/>
      <c r="D18" s="7"/>
      <c r="E18" s="20"/>
      <c r="F18" s="5"/>
    </row>
    <row r="19" spans="1:6" x14ac:dyDescent="0.45">
      <c r="A19" s="3">
        <v>0.64583333333333304</v>
      </c>
      <c r="B19" s="5"/>
      <c r="C19" s="5"/>
      <c r="D19" s="7"/>
      <c r="E19" s="20"/>
      <c r="F19" s="5"/>
    </row>
    <row r="20" spans="1:6" x14ac:dyDescent="0.45">
      <c r="A20" s="3">
        <v>0.66666666666666696</v>
      </c>
      <c r="B20" s="5"/>
      <c r="C20" s="5"/>
      <c r="D20" s="7"/>
      <c r="E20" s="20"/>
      <c r="F20" s="5"/>
    </row>
    <row r="21" spans="1:6" x14ac:dyDescent="0.45">
      <c r="A21" s="3">
        <v>0.6875</v>
      </c>
      <c r="B21" s="5"/>
      <c r="C21" s="5"/>
      <c r="E21" t="s">
        <v>47</v>
      </c>
      <c r="F21" s="5"/>
    </row>
    <row r="22" spans="1:6" x14ac:dyDescent="0.45">
      <c r="A22" s="3">
        <v>0.70833333333333304</v>
      </c>
      <c r="B22" s="5"/>
      <c r="C22" s="5"/>
      <c r="E22" t="s">
        <v>48</v>
      </c>
      <c r="F22" s="5"/>
    </row>
    <row r="23" spans="1:6" x14ac:dyDescent="0.45">
      <c r="A23" s="3">
        <v>0.72916666666666696</v>
      </c>
      <c r="B23" s="5"/>
      <c r="C23" s="5"/>
      <c r="E23" t="s">
        <v>49</v>
      </c>
      <c r="F23" s="5"/>
    </row>
    <row r="24" spans="1:6" x14ac:dyDescent="0.45">
      <c r="A24" s="3">
        <v>0.75</v>
      </c>
      <c r="B24" s="5"/>
      <c r="C24" s="5"/>
      <c r="F24" s="5"/>
    </row>
    <row r="25" spans="1:6" x14ac:dyDescent="0.45">
      <c r="A25" s="3">
        <v>0.76041666666666663</v>
      </c>
      <c r="B25" s="5"/>
      <c r="C25" s="5"/>
      <c r="F25" s="5"/>
    </row>
    <row r="26" spans="1:6" x14ac:dyDescent="0.45">
      <c r="A26" s="2"/>
    </row>
    <row r="27" spans="1:6" x14ac:dyDescent="0.45">
      <c r="A27" s="15" t="s">
        <v>19</v>
      </c>
      <c r="B27" s="11"/>
      <c r="C27" s="11"/>
      <c r="D27" s="11"/>
      <c r="E27" s="11"/>
      <c r="F27" s="11"/>
    </row>
    <row r="28" spans="1:6" ht="39.950000000000003" customHeight="1" x14ac:dyDescent="0.45">
      <c r="A28" s="15"/>
      <c r="B28" s="23" t="s">
        <v>29</v>
      </c>
      <c r="C28" s="22" t="s">
        <v>78</v>
      </c>
      <c r="D28" s="22" t="s">
        <v>77</v>
      </c>
      <c r="E28" s="22" t="s">
        <v>76</v>
      </c>
      <c r="F28" s="23" t="s">
        <v>80</v>
      </c>
    </row>
    <row r="29" spans="1:6" ht="39.950000000000003" customHeight="1" x14ac:dyDescent="0.45">
      <c r="A29" s="11"/>
      <c r="B29" s="23" t="s">
        <v>70</v>
      </c>
      <c r="C29" s="23" t="s">
        <v>73</v>
      </c>
      <c r="D29" s="19"/>
      <c r="E29" s="23" t="s">
        <v>87</v>
      </c>
      <c r="F29" s="23" t="s">
        <v>79</v>
      </c>
    </row>
    <row r="30" spans="1:6" ht="39.950000000000003" customHeight="1" x14ac:dyDescent="0.45">
      <c r="A30" s="11"/>
      <c r="B30" s="23" t="s">
        <v>71</v>
      </c>
      <c r="C30" s="23"/>
      <c r="D30" s="19"/>
      <c r="E30" s="19"/>
      <c r="F30" s="23" t="s">
        <v>81</v>
      </c>
    </row>
    <row r="31" spans="1:6" ht="39.950000000000003" customHeight="1" x14ac:dyDescent="0.45">
      <c r="A31" s="11"/>
      <c r="B31" s="19"/>
      <c r="C31" s="23"/>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v>
      </c>
      <c r="D1" s="18">
        <f>C1/Data!B2</f>
        <v>0.05</v>
      </c>
    </row>
    <row r="2" spans="1:9" x14ac:dyDescent="0.45">
      <c r="A2" s="1"/>
      <c r="B2" s="1" t="s">
        <v>1</v>
      </c>
      <c r="C2" s="1" t="s">
        <v>2</v>
      </c>
      <c r="D2" s="1" t="s">
        <v>3</v>
      </c>
      <c r="E2" s="1" t="s">
        <v>4</v>
      </c>
      <c r="F2" s="1" t="s">
        <v>5</v>
      </c>
      <c r="H2" s="1" t="s">
        <v>9</v>
      </c>
    </row>
    <row r="3" spans="1:9" x14ac:dyDescent="0.45">
      <c r="A3" s="1"/>
      <c r="B3" s="8">
        <f>DATE(2024,9,23) + ((C1-1)*7)</f>
        <v>45565</v>
      </c>
      <c r="C3" s="8">
        <f>B3+1</f>
        <v>45566</v>
      </c>
      <c r="D3" s="8">
        <f>C3+1</f>
        <v>45567</v>
      </c>
      <c r="E3" s="8">
        <f>D3+1</f>
        <v>45568</v>
      </c>
      <c r="F3" s="8">
        <f>E3+1</f>
        <v>45569</v>
      </c>
      <c r="H3" s="5" t="s">
        <v>8</v>
      </c>
    </row>
    <row r="4" spans="1:9" x14ac:dyDescent="0.45">
      <c r="A4" s="3">
        <v>0.35416666666666669</v>
      </c>
      <c r="E4" s="29" t="s">
        <v>108</v>
      </c>
      <c r="H4" s="7" t="s">
        <v>10</v>
      </c>
    </row>
    <row r="5" spans="1:9" x14ac:dyDescent="0.45">
      <c r="A5" s="3">
        <v>0.375</v>
      </c>
      <c r="E5" s="32">
        <v>115</v>
      </c>
      <c r="F5" s="6" t="s">
        <v>12</v>
      </c>
      <c r="H5" s="11" t="s">
        <v>22</v>
      </c>
    </row>
    <row r="6" spans="1:9" x14ac:dyDescent="0.45">
      <c r="A6" s="3">
        <v>0.39583333333333298</v>
      </c>
      <c r="E6" s="28"/>
      <c r="F6" s="5" t="s">
        <v>13</v>
      </c>
    </row>
    <row r="7" spans="1:9" x14ac:dyDescent="0.45">
      <c r="A7" s="3">
        <v>0.41666666666666702</v>
      </c>
      <c r="E7" s="28"/>
      <c r="F7" s="5"/>
      <c r="H7" s="1" t="s">
        <v>17</v>
      </c>
      <c r="I7" s="1"/>
    </row>
    <row r="8" spans="1:9" x14ac:dyDescent="0.45">
      <c r="A8" s="3">
        <v>0.4375</v>
      </c>
      <c r="E8" s="28"/>
      <c r="F8" s="5"/>
      <c r="H8" s="1" t="s">
        <v>18</v>
      </c>
      <c r="I8" s="14" t="b">
        <v>0</v>
      </c>
    </row>
    <row r="9" spans="1:9" x14ac:dyDescent="0.45">
      <c r="A9" s="10">
        <v>0.44791666666666669</v>
      </c>
      <c r="D9" s="6" t="s">
        <v>14</v>
      </c>
      <c r="E9" s="30"/>
      <c r="F9" s="5"/>
    </row>
    <row r="10" spans="1:9" x14ac:dyDescent="0.45">
      <c r="A10" s="3">
        <v>0.45833333333333398</v>
      </c>
      <c r="D10" s="5" t="s">
        <v>16</v>
      </c>
      <c r="E10" s="31"/>
      <c r="F10" s="5"/>
    </row>
    <row r="11" spans="1:9" x14ac:dyDescent="0.45">
      <c r="A11" s="3">
        <v>0.47916666666666702</v>
      </c>
      <c r="D11" s="5"/>
      <c r="E11" s="31"/>
      <c r="F11" s="5"/>
    </row>
    <row r="12" spans="1:9" x14ac:dyDescent="0.45">
      <c r="A12" s="3">
        <v>0.5</v>
      </c>
      <c r="D12" s="5"/>
      <c r="E12" s="31"/>
      <c r="F12" s="5"/>
    </row>
    <row r="13" spans="1:9" ht="28.5" x14ac:dyDescent="0.45">
      <c r="A13" s="3">
        <v>0.53125</v>
      </c>
      <c r="C13" s="19" t="s">
        <v>103</v>
      </c>
      <c r="D13" s="5"/>
      <c r="E13" s="31"/>
      <c r="F13" s="5"/>
    </row>
    <row r="14" spans="1:9" x14ac:dyDescent="0.45">
      <c r="A14" s="3">
        <v>0.54166666666666696</v>
      </c>
    </row>
    <row r="15" spans="1:9" x14ac:dyDescent="0.45">
      <c r="A15" s="3">
        <v>0.5625</v>
      </c>
    </row>
    <row r="16" spans="1:9" x14ac:dyDescent="0.45">
      <c r="A16" s="3">
        <v>0.58333333333333304</v>
      </c>
      <c r="C16" s="6" t="s">
        <v>12</v>
      </c>
      <c r="D16" s="9" t="s">
        <v>15</v>
      </c>
      <c r="E16" s="29" t="s">
        <v>108</v>
      </c>
      <c r="F16" s="6" t="s">
        <v>12</v>
      </c>
    </row>
    <row r="17" spans="1:6" x14ac:dyDescent="0.45">
      <c r="A17" s="3">
        <v>0.60416666666666696</v>
      </c>
      <c r="C17" s="5" t="s">
        <v>13</v>
      </c>
      <c r="D17" s="7" t="s">
        <v>13</v>
      </c>
      <c r="E17" s="32">
        <v>115</v>
      </c>
      <c r="F17" s="5" t="s">
        <v>13</v>
      </c>
    </row>
    <row r="18" spans="1:6" x14ac:dyDescent="0.45">
      <c r="A18" s="3">
        <v>0.625</v>
      </c>
      <c r="C18" s="6" t="s">
        <v>74</v>
      </c>
      <c r="D18" s="7"/>
      <c r="E18" s="31"/>
      <c r="F18" s="5"/>
    </row>
    <row r="19" spans="1:6" x14ac:dyDescent="0.45">
      <c r="A19" s="3">
        <v>0.64583333333333304</v>
      </c>
      <c r="C19" s="5"/>
      <c r="D19" s="7"/>
      <c r="E19" s="31"/>
      <c r="F19" s="5"/>
    </row>
    <row r="20" spans="1:6" x14ac:dyDescent="0.45">
      <c r="A20" s="3">
        <v>0.66666666666666696</v>
      </c>
      <c r="C20" s="5"/>
      <c r="D20" s="7"/>
      <c r="E20" s="31"/>
      <c r="F20" s="5"/>
    </row>
    <row r="21" spans="1:6" x14ac:dyDescent="0.45">
      <c r="A21" s="3">
        <v>0.6875</v>
      </c>
      <c r="C21" s="5"/>
      <c r="E21" s="28"/>
      <c r="F21" s="5"/>
    </row>
    <row r="22" spans="1:6" x14ac:dyDescent="0.45">
      <c r="A22" s="3">
        <v>0.70833333333333304</v>
      </c>
      <c r="C22" s="5"/>
      <c r="E22" s="28"/>
      <c r="F22" s="5"/>
    </row>
    <row r="23" spans="1:6" x14ac:dyDescent="0.45">
      <c r="A23" s="3">
        <v>0.72916666666666696</v>
      </c>
      <c r="C23" s="5"/>
      <c r="F23" s="5"/>
    </row>
    <row r="24" spans="1:6" x14ac:dyDescent="0.45">
      <c r="A24" s="3">
        <v>0.75</v>
      </c>
      <c r="C24" s="5"/>
      <c r="F24" s="5"/>
    </row>
    <row r="25" spans="1:6" x14ac:dyDescent="0.45">
      <c r="A25" s="3">
        <v>0.76041666666666663</v>
      </c>
      <c r="C25" s="5"/>
      <c r="F25" s="5"/>
    </row>
    <row r="26" spans="1:6" x14ac:dyDescent="0.45">
      <c r="A26" s="2"/>
    </row>
    <row r="27" spans="1:6" x14ac:dyDescent="0.45">
      <c r="A27" s="15" t="s">
        <v>19</v>
      </c>
      <c r="B27" s="11"/>
      <c r="C27" s="11"/>
      <c r="D27" s="11"/>
      <c r="E27" s="11"/>
      <c r="F27" s="11"/>
    </row>
    <row r="28" spans="1:6" ht="39.950000000000003" customHeight="1" x14ac:dyDescent="0.45">
      <c r="A28" s="15"/>
      <c r="B28" s="22" t="s">
        <v>89</v>
      </c>
      <c r="C28" s="23" t="s">
        <v>105</v>
      </c>
      <c r="D28" s="19"/>
      <c r="E28" s="23" t="s">
        <v>111</v>
      </c>
      <c r="F28" s="22" t="s">
        <v>113</v>
      </c>
    </row>
    <row r="29" spans="1:6" ht="39.950000000000003" customHeight="1" x14ac:dyDescent="0.45">
      <c r="A29" s="11"/>
      <c r="B29" s="23" t="s">
        <v>94</v>
      </c>
      <c r="C29" s="23" t="s">
        <v>93</v>
      </c>
      <c r="D29" s="19"/>
      <c r="E29" s="19"/>
      <c r="F29" s="19"/>
    </row>
    <row r="30" spans="1:6" ht="39.950000000000003" customHeight="1" x14ac:dyDescent="0.45">
      <c r="A30" s="11"/>
      <c r="B30" s="23" t="s">
        <v>95</v>
      </c>
      <c r="C30" s="23" t="s">
        <v>82</v>
      </c>
      <c r="D30" s="19"/>
      <c r="E30" s="19"/>
      <c r="F30" s="19"/>
    </row>
    <row r="31" spans="1:6" ht="39.950000000000003" customHeight="1" x14ac:dyDescent="0.45">
      <c r="A31" s="11"/>
      <c r="B31" s="23" t="s">
        <v>72</v>
      </c>
      <c r="C31" s="19"/>
      <c r="D31" s="19"/>
      <c r="E31" s="19"/>
      <c r="F31" s="19"/>
    </row>
    <row r="32" spans="1:6" ht="39.950000000000003" customHeight="1" x14ac:dyDescent="0.45">
      <c r="A32" s="11"/>
      <c r="B32" s="23" t="s">
        <v>68</v>
      </c>
      <c r="C32" s="19"/>
      <c r="D32" s="19"/>
      <c r="E32" s="19"/>
      <c r="F32" s="19"/>
    </row>
    <row r="33" spans="1:6" ht="39.950000000000003" customHeight="1" x14ac:dyDescent="0.45">
      <c r="A33" s="11"/>
      <c r="B33" s="23" t="s">
        <v>69</v>
      </c>
      <c r="C33" s="19"/>
      <c r="D33" s="19"/>
      <c r="E33" s="19"/>
      <c r="F33" s="19"/>
    </row>
    <row r="34" spans="1:6" ht="39.950000000000003" customHeight="1" x14ac:dyDescent="0.45">
      <c r="A34" s="11"/>
      <c r="B34" s="22" t="s">
        <v>102</v>
      </c>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v>
      </c>
      <c r="D1" s="18">
        <f>C1/Data!B2</f>
        <v>7.4999999999999997E-2</v>
      </c>
    </row>
    <row r="2" spans="1:9" x14ac:dyDescent="0.45">
      <c r="A2" s="1"/>
      <c r="B2" s="1" t="s">
        <v>1</v>
      </c>
      <c r="C2" s="1" t="s">
        <v>2</v>
      </c>
      <c r="D2" s="1" t="s">
        <v>3</v>
      </c>
      <c r="E2" s="1" t="s">
        <v>4</v>
      </c>
      <c r="F2" s="1" t="s">
        <v>5</v>
      </c>
      <c r="H2" s="1" t="s">
        <v>9</v>
      </c>
    </row>
    <row r="3" spans="1:9" x14ac:dyDescent="0.45">
      <c r="A3" s="1"/>
      <c r="B3" s="8">
        <f>DATE(2024,9,23) + ((C1-1)*7)</f>
        <v>45572</v>
      </c>
      <c r="C3" s="8">
        <f>B3+1</f>
        <v>45573</v>
      </c>
      <c r="D3" s="8">
        <f>C3+1</f>
        <v>45574</v>
      </c>
      <c r="E3" s="8">
        <f>D3+1</f>
        <v>45575</v>
      </c>
      <c r="F3" s="8">
        <f>E3+1</f>
        <v>45576</v>
      </c>
      <c r="H3" s="5" t="s">
        <v>8</v>
      </c>
    </row>
    <row r="4" spans="1:9" x14ac:dyDescent="0.45">
      <c r="A4" s="3">
        <v>0.35416666666666669</v>
      </c>
      <c r="C4" s="29" t="s">
        <v>107</v>
      </c>
      <c r="H4" s="7" t="s">
        <v>10</v>
      </c>
    </row>
    <row r="5" spans="1:9" x14ac:dyDescent="0.45">
      <c r="A5" s="3">
        <v>0.375</v>
      </c>
      <c r="B5" s="6" t="s">
        <v>6</v>
      </c>
      <c r="C5" s="28" t="s">
        <v>7</v>
      </c>
      <c r="E5" s="34"/>
      <c r="F5" s="6" t="s">
        <v>12</v>
      </c>
      <c r="H5" s="11" t="s">
        <v>22</v>
      </c>
    </row>
    <row r="6" spans="1:9" x14ac:dyDescent="0.45">
      <c r="A6" s="3">
        <v>0.39583333333333298</v>
      </c>
      <c r="B6" s="5" t="s">
        <v>7</v>
      </c>
      <c r="C6" s="28"/>
      <c r="F6" s="5" t="s">
        <v>13</v>
      </c>
    </row>
    <row r="7" spans="1:9" ht="28.5" x14ac:dyDescent="0.45">
      <c r="A7" s="3">
        <v>0.41666666666666702</v>
      </c>
      <c r="B7" s="21" t="s">
        <v>66</v>
      </c>
      <c r="C7" s="28"/>
      <c r="F7" s="5"/>
      <c r="H7" s="1" t="s">
        <v>17</v>
      </c>
      <c r="I7" s="1"/>
    </row>
    <row r="8" spans="1:9" x14ac:dyDescent="0.45">
      <c r="A8" s="3">
        <v>0.4375</v>
      </c>
      <c r="B8" s="5"/>
      <c r="C8" s="28"/>
      <c r="F8" s="5"/>
      <c r="H8" s="1" t="s">
        <v>18</v>
      </c>
      <c r="I8" s="14" t="b">
        <v>0</v>
      </c>
    </row>
    <row r="9" spans="1:9" x14ac:dyDescent="0.45">
      <c r="A9" s="10">
        <v>0.44791666666666669</v>
      </c>
      <c r="B9" s="5"/>
      <c r="C9" s="28"/>
      <c r="E9" s="35"/>
      <c r="F9" s="5"/>
    </row>
    <row r="10" spans="1:9" x14ac:dyDescent="0.45">
      <c r="A10" s="3">
        <v>0.45833333333333398</v>
      </c>
      <c r="B10" s="5"/>
      <c r="E10" s="36"/>
      <c r="F10" s="5"/>
    </row>
    <row r="11" spans="1:9" x14ac:dyDescent="0.45">
      <c r="A11" s="3">
        <v>0.47916666666666702</v>
      </c>
      <c r="B11" s="5"/>
      <c r="E11" s="36"/>
      <c r="F11" s="5"/>
    </row>
    <row r="12" spans="1:9" x14ac:dyDescent="0.45">
      <c r="A12" s="3">
        <v>0.5</v>
      </c>
      <c r="B12" s="5"/>
      <c r="E12" s="36"/>
      <c r="F12" s="5"/>
    </row>
    <row r="13" spans="1:9" x14ac:dyDescent="0.45">
      <c r="A13" s="3">
        <v>0.53125</v>
      </c>
      <c r="B13" s="5"/>
      <c r="E13" s="36" t="s">
        <v>126</v>
      </c>
      <c r="F13" s="5"/>
    </row>
    <row r="14" spans="1:9" x14ac:dyDescent="0.45">
      <c r="A14" s="3">
        <v>0.54166666666666696</v>
      </c>
      <c r="B14" s="5"/>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43" t="s">
        <v>118</v>
      </c>
      <c r="D18" s="42"/>
      <c r="E18" s="36"/>
      <c r="F18" s="5"/>
    </row>
    <row r="19" spans="1:6" x14ac:dyDescent="0.45">
      <c r="A19" s="3">
        <v>0.64583333333333304</v>
      </c>
      <c r="C19" s="5" t="s">
        <v>119</v>
      </c>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t="s">
        <v>121</v>
      </c>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90</v>
      </c>
      <c r="C28" s="23" t="s">
        <v>117</v>
      </c>
      <c r="D28" s="22" t="s">
        <v>122</v>
      </c>
      <c r="E28" s="22" t="s">
        <v>125</v>
      </c>
      <c r="F28" s="22" t="s">
        <v>75</v>
      </c>
    </row>
    <row r="29" spans="1:6" ht="39.950000000000003" customHeight="1" x14ac:dyDescent="0.45">
      <c r="A29" s="11"/>
      <c r="B29" s="23" t="s">
        <v>97</v>
      </c>
      <c r="C29" s="23" t="s">
        <v>115</v>
      </c>
      <c r="D29" s="23" t="s">
        <v>123</v>
      </c>
      <c r="E29" s="23" t="s">
        <v>129</v>
      </c>
      <c r="F29" s="23" t="s">
        <v>120</v>
      </c>
    </row>
    <row r="30" spans="1:6" ht="39.950000000000003" customHeight="1" x14ac:dyDescent="0.45">
      <c r="A30" s="11"/>
      <c r="B30" s="23" t="s">
        <v>104</v>
      </c>
      <c r="C30" s="19"/>
      <c r="D30" s="19"/>
      <c r="E30" s="19"/>
      <c r="F30" s="23" t="s">
        <v>124</v>
      </c>
    </row>
    <row r="31" spans="1:6" ht="39.950000000000003" customHeight="1" x14ac:dyDescent="0.45">
      <c r="A31" s="11"/>
      <c r="B31" s="23" t="s">
        <v>109</v>
      </c>
      <c r="C31" s="19"/>
      <c r="D31" s="19"/>
      <c r="E31" s="19"/>
      <c r="F31" s="23" t="s">
        <v>132</v>
      </c>
    </row>
    <row r="32" spans="1:6" ht="39.950000000000003" customHeight="1" x14ac:dyDescent="0.45">
      <c r="A32" s="11"/>
      <c r="B32" s="23" t="s">
        <v>114</v>
      </c>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v>
      </c>
      <c r="D1" s="18">
        <f>C1/Data!B2</f>
        <v>0.1</v>
      </c>
    </row>
    <row r="2" spans="1:9" x14ac:dyDescent="0.45">
      <c r="A2" s="1"/>
      <c r="B2" s="1" t="s">
        <v>1</v>
      </c>
      <c r="C2" s="1" t="s">
        <v>2</v>
      </c>
      <c r="D2" s="1" t="s">
        <v>3</v>
      </c>
      <c r="E2" s="1" t="s">
        <v>4</v>
      </c>
      <c r="F2" s="1" t="s">
        <v>5</v>
      </c>
      <c r="H2" s="1" t="s">
        <v>9</v>
      </c>
    </row>
    <row r="3" spans="1:9" x14ac:dyDescent="0.45">
      <c r="A3" s="1"/>
      <c r="B3" s="8">
        <f>DATE(2024,9,23) + ((C1-1)*7)</f>
        <v>45579</v>
      </c>
      <c r="C3" s="8">
        <f>B3+1</f>
        <v>45580</v>
      </c>
      <c r="D3" s="8">
        <f>C3+1</f>
        <v>45581</v>
      </c>
      <c r="E3" s="8">
        <f>D3+1</f>
        <v>45582</v>
      </c>
      <c r="F3" s="8">
        <f>E3+1</f>
        <v>45583</v>
      </c>
      <c r="H3" s="5" t="s">
        <v>8</v>
      </c>
    </row>
    <row r="4" spans="1:9" x14ac:dyDescent="0.45">
      <c r="A4" s="3">
        <v>0.35416666666666669</v>
      </c>
      <c r="C4" s="44" t="s">
        <v>107</v>
      </c>
      <c r="H4" s="7" t="s">
        <v>10</v>
      </c>
    </row>
    <row r="5" spans="1:9" x14ac:dyDescent="0.45">
      <c r="A5" s="3">
        <v>0.375</v>
      </c>
      <c r="B5" s="9" t="s">
        <v>11</v>
      </c>
      <c r="C5" s="45" t="s">
        <v>7</v>
      </c>
      <c r="F5" s="6" t="s">
        <v>12</v>
      </c>
      <c r="H5" s="11" t="s">
        <v>22</v>
      </c>
    </row>
    <row r="6" spans="1:9" x14ac:dyDescent="0.45">
      <c r="A6" s="3">
        <v>0.39583333333333298</v>
      </c>
      <c r="B6" s="7" t="s">
        <v>7</v>
      </c>
      <c r="C6" s="45"/>
      <c r="E6" s="29" t="s">
        <v>108</v>
      </c>
      <c r="F6" s="5" t="s">
        <v>13</v>
      </c>
    </row>
    <row r="7" spans="1:9" x14ac:dyDescent="0.45">
      <c r="A7" s="3">
        <v>0.41666666666666702</v>
      </c>
      <c r="B7" s="9" t="s">
        <v>101</v>
      </c>
      <c r="C7" s="45"/>
      <c r="E7" s="32">
        <v>115</v>
      </c>
      <c r="F7" s="5"/>
      <c r="H7" s="1" t="s">
        <v>17</v>
      </c>
      <c r="I7" s="1"/>
    </row>
    <row r="8" spans="1:9" x14ac:dyDescent="0.45">
      <c r="A8" s="3">
        <v>0.4375</v>
      </c>
      <c r="B8" s="7"/>
      <c r="C8" s="45"/>
      <c r="E8" s="28"/>
      <c r="F8" s="5"/>
      <c r="H8" s="1" t="s">
        <v>18</v>
      </c>
      <c r="I8" s="14" t="b">
        <v>0</v>
      </c>
    </row>
    <row r="9" spans="1:9" x14ac:dyDescent="0.45">
      <c r="A9" s="10">
        <v>0.44791666666666669</v>
      </c>
      <c r="B9" s="7"/>
      <c r="C9" s="45"/>
      <c r="E9" s="30"/>
      <c r="F9" s="5"/>
    </row>
    <row r="10" spans="1:9" x14ac:dyDescent="0.45">
      <c r="A10" s="3">
        <v>0.45833333333333398</v>
      </c>
      <c r="B10" s="7"/>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v>115</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91</v>
      </c>
      <c r="C28" s="23" t="s">
        <v>116</v>
      </c>
      <c r="D28" s="22" t="s">
        <v>136</v>
      </c>
      <c r="E28" s="22" t="s">
        <v>110</v>
      </c>
      <c r="F28" s="23" t="s">
        <v>92</v>
      </c>
    </row>
    <row r="29" spans="1:6" ht="39.950000000000003" customHeight="1" x14ac:dyDescent="0.45">
      <c r="A29" s="11"/>
      <c r="B29" s="23" t="s">
        <v>139</v>
      </c>
      <c r="C29" s="23" t="s">
        <v>135</v>
      </c>
      <c r="D29" s="22" t="s">
        <v>130</v>
      </c>
      <c r="E29" s="23" t="s">
        <v>112</v>
      </c>
      <c r="F29" s="23" t="s">
        <v>137</v>
      </c>
    </row>
    <row r="30" spans="1:6" ht="39.950000000000003" customHeight="1" x14ac:dyDescent="0.45">
      <c r="A30" s="11"/>
      <c r="B30" s="23" t="s">
        <v>133</v>
      </c>
      <c r="C30" s="19"/>
      <c r="D30" s="23" t="s">
        <v>141</v>
      </c>
      <c r="E30" s="23" t="s">
        <v>127</v>
      </c>
      <c r="F30" s="23" t="s">
        <v>140</v>
      </c>
    </row>
    <row r="31" spans="1:6" ht="39.950000000000003" customHeight="1" x14ac:dyDescent="0.45">
      <c r="A31" s="11"/>
      <c r="B31" s="23" t="s">
        <v>134</v>
      </c>
      <c r="C31" s="19"/>
      <c r="D31" s="23" t="s">
        <v>145</v>
      </c>
      <c r="E31" s="23" t="s">
        <v>147</v>
      </c>
      <c r="F31" s="23" t="s">
        <v>150</v>
      </c>
    </row>
    <row r="32" spans="1:6" ht="39.950000000000003" customHeight="1" x14ac:dyDescent="0.45">
      <c r="A32" s="11"/>
      <c r="B32" s="23" t="s">
        <v>138</v>
      </c>
      <c r="C32" s="19"/>
      <c r="D32" s="23" t="s">
        <v>146</v>
      </c>
      <c r="E32" s="23" t="s">
        <v>128</v>
      </c>
      <c r="F32" s="22" t="s">
        <v>151</v>
      </c>
    </row>
    <row r="33" spans="1:6" ht="39.950000000000003" customHeight="1" x14ac:dyDescent="0.45">
      <c r="A33" s="11"/>
      <c r="B33" s="19"/>
      <c r="C33" s="19"/>
      <c r="D33" s="19"/>
      <c r="E33" s="23" t="s">
        <v>149</v>
      </c>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5</v>
      </c>
      <c r="D1" s="18">
        <f>C1/Data!B2</f>
        <v>0.125</v>
      </c>
    </row>
    <row r="2" spans="1:9" x14ac:dyDescent="0.45">
      <c r="A2" s="1"/>
      <c r="B2" s="1" t="s">
        <v>1</v>
      </c>
      <c r="C2" s="1" t="s">
        <v>2</v>
      </c>
      <c r="D2" s="1" t="s">
        <v>3</v>
      </c>
      <c r="E2" s="1" t="s">
        <v>4</v>
      </c>
      <c r="F2" s="1" t="s">
        <v>5</v>
      </c>
      <c r="H2" s="1" t="s">
        <v>9</v>
      </c>
    </row>
    <row r="3" spans="1:9" x14ac:dyDescent="0.45">
      <c r="A3" s="1"/>
      <c r="B3" s="8">
        <f>DATE(2024,9,23) + ((C1-1)*7)</f>
        <v>45586</v>
      </c>
      <c r="C3" s="8">
        <f>B3+1</f>
        <v>45587</v>
      </c>
      <c r="D3" s="8">
        <f>C3+1</f>
        <v>45588</v>
      </c>
      <c r="E3" s="8">
        <f>D3+1</f>
        <v>45589</v>
      </c>
      <c r="F3" s="8">
        <f>E3+1</f>
        <v>45590</v>
      </c>
      <c r="H3" s="5" t="s">
        <v>8</v>
      </c>
    </row>
    <row r="4" spans="1:9" x14ac:dyDescent="0.45">
      <c r="A4" s="3">
        <v>0.35416666666666669</v>
      </c>
      <c r="C4" s="29" t="s">
        <v>107</v>
      </c>
      <c r="E4" s="33"/>
      <c r="H4" s="7" t="s">
        <v>10</v>
      </c>
    </row>
    <row r="5" spans="1:9" x14ac:dyDescent="0.45">
      <c r="A5" s="3">
        <v>0.375</v>
      </c>
      <c r="C5" s="28" t="s">
        <v>7</v>
      </c>
      <c r="E5" s="34"/>
      <c r="F5" s="34"/>
      <c r="H5" s="11" t="s">
        <v>22</v>
      </c>
    </row>
    <row r="6" spans="1:9" x14ac:dyDescent="0.45">
      <c r="A6" s="3">
        <v>0.39583333333333298</v>
      </c>
      <c r="C6" s="28"/>
    </row>
    <row r="7" spans="1:9" x14ac:dyDescent="0.45">
      <c r="A7" s="3">
        <v>0.41666666666666702</v>
      </c>
      <c r="C7" s="28"/>
      <c r="D7" t="s">
        <v>162</v>
      </c>
      <c r="H7" s="1" t="s">
        <v>17</v>
      </c>
      <c r="I7" s="1"/>
    </row>
    <row r="8" spans="1:9" x14ac:dyDescent="0.45">
      <c r="A8" s="3">
        <v>0.4375</v>
      </c>
      <c r="C8" s="28"/>
      <c r="H8" s="1" t="s">
        <v>18</v>
      </c>
      <c r="I8" s="14" t="b">
        <v>0</v>
      </c>
    </row>
    <row r="9" spans="1:9" x14ac:dyDescent="0.45">
      <c r="A9" s="10">
        <v>0.44791666666666669</v>
      </c>
      <c r="C9" s="28"/>
      <c r="E9" s="35"/>
      <c r="F9" s="35"/>
    </row>
    <row r="10" spans="1:9" x14ac:dyDescent="0.45">
      <c r="A10" s="3">
        <v>0.45833333333333398</v>
      </c>
      <c r="E10" s="36"/>
      <c r="F10" s="36"/>
    </row>
    <row r="11" spans="1:9" x14ac:dyDescent="0.45">
      <c r="A11" s="3">
        <v>0.47916666666666702</v>
      </c>
      <c r="E11" s="36"/>
      <c r="F11" s="36"/>
    </row>
    <row r="12" spans="1:9" x14ac:dyDescent="0.45">
      <c r="A12" s="3">
        <v>0.5</v>
      </c>
      <c r="E12" s="36"/>
      <c r="F12" s="36"/>
    </row>
    <row r="13" spans="1:9" x14ac:dyDescent="0.45">
      <c r="A13" s="3">
        <v>0.53125</v>
      </c>
      <c r="E13" s="36"/>
      <c r="F13" s="36"/>
    </row>
    <row r="14" spans="1:9" x14ac:dyDescent="0.45">
      <c r="A14" s="3">
        <v>0.54166666666666696</v>
      </c>
    </row>
    <row r="15" spans="1:9" x14ac:dyDescent="0.45">
      <c r="A15" s="3">
        <v>0.5625</v>
      </c>
      <c r="F15" s="33" t="s">
        <v>166</v>
      </c>
    </row>
    <row r="16" spans="1:9" x14ac:dyDescent="0.45">
      <c r="A16" s="3">
        <v>0.58333333333333304</v>
      </c>
      <c r="B16" s="6" t="s">
        <v>6</v>
      </c>
      <c r="C16" s="6" t="s">
        <v>12</v>
      </c>
      <c r="E16" s="33"/>
      <c r="F16" s="33"/>
    </row>
    <row r="17" spans="1:6" x14ac:dyDescent="0.45">
      <c r="A17" s="3">
        <v>0.60416666666666696</v>
      </c>
      <c r="B17" s="5" t="s">
        <v>7</v>
      </c>
      <c r="C17" s="5" t="s">
        <v>13</v>
      </c>
      <c r="E17" s="34"/>
      <c r="F17" s="34"/>
    </row>
    <row r="18" spans="1:6" ht="28.5" x14ac:dyDescent="0.45">
      <c r="A18" s="3">
        <v>0.625</v>
      </c>
      <c r="B18" s="21" t="s">
        <v>56</v>
      </c>
      <c r="C18" s="46" t="s">
        <v>155</v>
      </c>
      <c r="E18" s="36"/>
      <c r="F18" s="36"/>
    </row>
    <row r="19" spans="1:6" x14ac:dyDescent="0.45">
      <c r="A19" s="3">
        <v>0.64583333333333304</v>
      </c>
      <c r="B19" s="5"/>
      <c r="C19" s="5"/>
      <c r="E19" s="36"/>
      <c r="F19" s="36"/>
    </row>
    <row r="20" spans="1:6" x14ac:dyDescent="0.45">
      <c r="A20" s="3">
        <v>0.66666666666666696</v>
      </c>
      <c r="B20" s="5"/>
      <c r="C20" s="5"/>
      <c r="E20" s="36"/>
      <c r="F20" s="36"/>
    </row>
    <row r="21" spans="1:6" x14ac:dyDescent="0.45">
      <c r="A21" s="3">
        <v>0.6875</v>
      </c>
      <c r="B21" s="5"/>
      <c r="C21" s="5"/>
    </row>
    <row r="22" spans="1:6" x14ac:dyDescent="0.45">
      <c r="A22" s="3">
        <v>0.70833333333333304</v>
      </c>
      <c r="B22" s="5"/>
      <c r="C22" s="5"/>
    </row>
    <row r="23" spans="1:6" x14ac:dyDescent="0.45">
      <c r="A23" s="3">
        <v>0.72916666666666696</v>
      </c>
      <c r="B23" s="5"/>
      <c r="C23" s="5"/>
    </row>
    <row r="24" spans="1:6" x14ac:dyDescent="0.45">
      <c r="A24" s="3">
        <v>0.75</v>
      </c>
      <c r="B24" s="5"/>
      <c r="C24" s="5"/>
    </row>
    <row r="25" spans="1:6" x14ac:dyDescent="0.45">
      <c r="A25" s="3">
        <v>0.76041666666666663</v>
      </c>
      <c r="B25" s="5"/>
      <c r="C25" s="5"/>
    </row>
    <row r="26" spans="1:6" x14ac:dyDescent="0.45">
      <c r="A26" s="2"/>
    </row>
    <row r="27" spans="1:6" x14ac:dyDescent="0.45">
      <c r="A27" s="15" t="s">
        <v>19</v>
      </c>
      <c r="B27" s="11"/>
      <c r="C27" s="11"/>
      <c r="D27" s="11"/>
      <c r="E27" s="11"/>
      <c r="F27" s="11"/>
    </row>
    <row r="28" spans="1:6" ht="39.950000000000003" customHeight="1" x14ac:dyDescent="0.45">
      <c r="A28" s="15"/>
      <c r="B28" s="23" t="s">
        <v>142</v>
      </c>
      <c r="C28" s="47" t="s">
        <v>154</v>
      </c>
      <c r="D28" s="22" t="s">
        <v>106</v>
      </c>
      <c r="E28" s="23" t="s">
        <v>131</v>
      </c>
      <c r="F28" s="23" t="s">
        <v>167</v>
      </c>
    </row>
    <row r="29" spans="1:6" ht="39.950000000000003" customHeight="1" x14ac:dyDescent="0.45">
      <c r="A29" s="11"/>
      <c r="B29" s="23" t="s">
        <v>153</v>
      </c>
      <c r="C29" s="23" t="s">
        <v>157</v>
      </c>
      <c r="D29" s="23" t="s">
        <v>158</v>
      </c>
      <c r="E29" s="23" t="s">
        <v>152</v>
      </c>
      <c r="F29" s="23" t="s">
        <v>159</v>
      </c>
    </row>
    <row r="30" spans="1:6" ht="39.950000000000003" customHeight="1" x14ac:dyDescent="0.45">
      <c r="A30" s="11"/>
      <c r="B30" s="19"/>
      <c r="C30" s="17"/>
      <c r="D30" s="23" t="s">
        <v>160</v>
      </c>
      <c r="E30" s="23" t="s">
        <v>158</v>
      </c>
      <c r="F30" s="23" t="s">
        <v>161</v>
      </c>
    </row>
    <row r="31" spans="1:6" ht="39.950000000000003" customHeight="1" x14ac:dyDescent="0.45">
      <c r="A31" s="11"/>
      <c r="B31" s="19"/>
      <c r="C31" s="17"/>
      <c r="D31" s="47" t="s">
        <v>163</v>
      </c>
      <c r="E31" s="23" t="s">
        <v>168</v>
      </c>
      <c r="F31" s="23" t="s">
        <v>164</v>
      </c>
    </row>
    <row r="32" spans="1:6" ht="39.950000000000003" customHeight="1" x14ac:dyDescent="0.45">
      <c r="A32" s="11"/>
      <c r="B32" s="17"/>
      <c r="C32" s="17"/>
      <c r="D32" s="47" t="s">
        <v>165</v>
      </c>
      <c r="E32" s="17"/>
      <c r="F32" s="23" t="s">
        <v>166</v>
      </c>
    </row>
    <row r="33" spans="1:6" ht="39.950000000000003" customHeight="1" x14ac:dyDescent="0.45">
      <c r="A33" s="11"/>
      <c r="B33" s="17"/>
      <c r="C33" s="17"/>
      <c r="D33" s="17"/>
      <c r="E33" s="17"/>
      <c r="F33" s="47" t="s">
        <v>169</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6</v>
      </c>
      <c r="D1" s="18">
        <f>C1/Data!B2</f>
        <v>0.15</v>
      </c>
    </row>
    <row r="2" spans="1:9" x14ac:dyDescent="0.45">
      <c r="A2" s="1"/>
      <c r="B2" s="1" t="s">
        <v>1</v>
      </c>
      <c r="C2" s="1" t="s">
        <v>2</v>
      </c>
      <c r="D2" s="1" t="s">
        <v>3</v>
      </c>
      <c r="E2" s="1" t="s">
        <v>4</v>
      </c>
      <c r="F2" s="1" t="s">
        <v>5</v>
      </c>
      <c r="H2" s="1" t="s">
        <v>9</v>
      </c>
    </row>
    <row r="3" spans="1:9" x14ac:dyDescent="0.45">
      <c r="A3" s="1"/>
      <c r="B3" s="8">
        <f>DATE(2024,9,23) + ((C1-1)*7)</f>
        <v>45593</v>
      </c>
      <c r="C3" s="8">
        <f>B3+1</f>
        <v>45594</v>
      </c>
      <c r="D3" s="8">
        <f>C3+1</f>
        <v>45595</v>
      </c>
      <c r="E3" s="8">
        <f>D3+1</f>
        <v>45596</v>
      </c>
      <c r="F3" s="8">
        <f>E3+1</f>
        <v>45597</v>
      </c>
      <c r="H3" s="5" t="s">
        <v>8</v>
      </c>
    </row>
    <row r="4" spans="1:9" x14ac:dyDescent="0.45">
      <c r="A4" s="3">
        <v>0.35416666666666669</v>
      </c>
      <c r="H4" s="7" t="s">
        <v>10</v>
      </c>
    </row>
    <row r="5" spans="1:9" x14ac:dyDescent="0.45">
      <c r="A5" s="3">
        <v>0.375</v>
      </c>
      <c r="H5" s="11" t="s">
        <v>22</v>
      </c>
    </row>
    <row r="6" spans="1:9" x14ac:dyDescent="0.45">
      <c r="A6" s="3">
        <v>0.39583333333333298</v>
      </c>
      <c r="E6" s="29" t="s">
        <v>108</v>
      </c>
    </row>
    <row r="7" spans="1:9" x14ac:dyDescent="0.45">
      <c r="A7" s="3">
        <v>0.41666666666666702</v>
      </c>
      <c r="E7" s="32">
        <v>115</v>
      </c>
      <c r="H7" s="1" t="s">
        <v>17</v>
      </c>
      <c r="I7" s="1"/>
    </row>
    <row r="8" spans="1:9" x14ac:dyDescent="0.45">
      <c r="A8" s="3">
        <v>0.4375</v>
      </c>
      <c r="E8" s="28"/>
      <c r="H8" s="1" t="s">
        <v>18</v>
      </c>
      <c r="I8" s="14" t="b">
        <v>1</v>
      </c>
    </row>
    <row r="9" spans="1:9" x14ac:dyDescent="0.45">
      <c r="A9" s="10">
        <v>0.44791666666666669</v>
      </c>
      <c r="E9" s="30"/>
    </row>
    <row r="10" spans="1:9" x14ac:dyDescent="0.45">
      <c r="A10" s="3">
        <v>0.45833333333333398</v>
      </c>
      <c r="E10" s="31"/>
    </row>
    <row r="11" spans="1:9" x14ac:dyDescent="0.45">
      <c r="A11" s="3">
        <v>0.47916666666666702</v>
      </c>
      <c r="E11" s="31"/>
    </row>
    <row r="12" spans="1:9" x14ac:dyDescent="0.45">
      <c r="A12" s="3">
        <v>0.5</v>
      </c>
      <c r="E12" s="31"/>
    </row>
    <row r="13" spans="1:9" x14ac:dyDescent="0.45">
      <c r="A13" s="3">
        <v>0.53125</v>
      </c>
      <c r="E13" s="31"/>
    </row>
    <row r="14" spans="1:9" x14ac:dyDescent="0.45">
      <c r="A14" s="3">
        <v>0.54166666666666696</v>
      </c>
    </row>
    <row r="15" spans="1:9" x14ac:dyDescent="0.45">
      <c r="A15" s="3">
        <v>0.5625</v>
      </c>
    </row>
    <row r="16" spans="1:9" x14ac:dyDescent="0.45">
      <c r="A16" s="3">
        <v>0.58333333333333304</v>
      </c>
      <c r="C16" s="6" t="s">
        <v>12</v>
      </c>
      <c r="D16" s="41" t="s">
        <v>15</v>
      </c>
      <c r="E16" s="29" t="s">
        <v>108</v>
      </c>
    </row>
    <row r="17" spans="1:6" x14ac:dyDescent="0.45">
      <c r="A17" s="3">
        <v>0.60416666666666696</v>
      </c>
      <c r="C17" s="5" t="s">
        <v>13</v>
      </c>
      <c r="D17" s="42" t="s">
        <v>16</v>
      </c>
      <c r="E17" s="32">
        <v>115</v>
      </c>
    </row>
    <row r="18" spans="1:6" x14ac:dyDescent="0.45">
      <c r="A18" s="3">
        <v>0.625</v>
      </c>
      <c r="C18" s="5"/>
      <c r="D18" s="42"/>
      <c r="E18" s="31"/>
    </row>
    <row r="19" spans="1:6" x14ac:dyDescent="0.45">
      <c r="A19" s="3">
        <v>0.64583333333333304</v>
      </c>
      <c r="C19" s="5"/>
      <c r="D19" s="42"/>
      <c r="E19" s="31"/>
    </row>
    <row r="20" spans="1:6" x14ac:dyDescent="0.45">
      <c r="A20" s="3">
        <v>0.66666666666666696</v>
      </c>
      <c r="C20" s="5"/>
      <c r="D20" s="42"/>
      <c r="E20" s="31"/>
    </row>
    <row r="21" spans="1:6" x14ac:dyDescent="0.45">
      <c r="A21" s="3">
        <v>0.6875</v>
      </c>
      <c r="C21" s="5"/>
      <c r="D21" s="6" t="s">
        <v>14</v>
      </c>
      <c r="E21" s="28"/>
    </row>
    <row r="22" spans="1:6" x14ac:dyDescent="0.45">
      <c r="A22" s="3">
        <v>0.70833333333333304</v>
      </c>
      <c r="C22" s="5"/>
      <c r="D22" s="5" t="s">
        <v>16</v>
      </c>
      <c r="E22" s="28"/>
    </row>
    <row r="23" spans="1:6" x14ac:dyDescent="0.45">
      <c r="A23" s="3">
        <v>0.72916666666666696</v>
      </c>
      <c r="C23" s="5"/>
      <c r="D23" s="5"/>
    </row>
    <row r="24" spans="1:6" x14ac:dyDescent="0.45">
      <c r="A24" s="3">
        <v>0.75</v>
      </c>
      <c r="C24" s="5"/>
      <c r="D24" s="5"/>
    </row>
    <row r="25" spans="1:6" x14ac:dyDescent="0.45">
      <c r="A25" s="3">
        <v>0.76041666666666663</v>
      </c>
      <c r="C25" s="5"/>
      <c r="D25" s="5"/>
    </row>
    <row r="26" spans="1:6" x14ac:dyDescent="0.45">
      <c r="A26" s="2"/>
      <c r="B26" s="2"/>
      <c r="C26" s="2"/>
      <c r="D26" s="2"/>
      <c r="E26" s="2"/>
      <c r="F26" s="2"/>
    </row>
    <row r="27" spans="1:6" x14ac:dyDescent="0.45">
      <c r="A27" s="15" t="s">
        <v>19</v>
      </c>
      <c r="B27" s="11"/>
      <c r="C27" s="11"/>
      <c r="D27" s="11"/>
      <c r="E27" s="11"/>
      <c r="F27" s="11"/>
    </row>
    <row r="28" spans="1:6" ht="39.950000000000003" customHeight="1" x14ac:dyDescent="0.45">
      <c r="A28" s="15"/>
      <c r="B28" s="22" t="s">
        <v>30</v>
      </c>
      <c r="C28" s="22" t="s">
        <v>30</v>
      </c>
      <c r="D28" s="22" t="s">
        <v>30</v>
      </c>
      <c r="E28" s="22" t="s">
        <v>30</v>
      </c>
      <c r="F28" s="23" t="s">
        <v>31</v>
      </c>
    </row>
    <row r="29" spans="1:6" ht="39.950000000000003" customHeight="1" x14ac:dyDescent="0.45">
      <c r="A29" s="11"/>
      <c r="B29" s="19"/>
      <c r="C29" s="23" t="s">
        <v>171</v>
      </c>
      <c r="D29" s="23" t="s">
        <v>156</v>
      </c>
      <c r="E29" s="23" t="s">
        <v>170</v>
      </c>
      <c r="F29" s="23" t="s">
        <v>175</v>
      </c>
    </row>
    <row r="30" spans="1:6" ht="39.950000000000003" customHeight="1" x14ac:dyDescent="0.45">
      <c r="A30" s="11"/>
      <c r="B30" s="19"/>
      <c r="C30" s="19"/>
      <c r="D30" s="23" t="s">
        <v>174</v>
      </c>
      <c r="E30" s="23" t="s">
        <v>177</v>
      </c>
      <c r="F30" s="23" t="s">
        <v>180</v>
      </c>
    </row>
    <row r="31" spans="1:6" ht="39.950000000000003" customHeight="1" x14ac:dyDescent="0.45">
      <c r="A31" s="11"/>
      <c r="B31" s="19"/>
      <c r="C31" s="19"/>
      <c r="D31" s="19"/>
      <c r="E31" s="23" t="s">
        <v>186</v>
      </c>
      <c r="F31" s="23" t="s">
        <v>191</v>
      </c>
    </row>
    <row r="32" spans="1:6" ht="39.950000000000003" customHeight="1" x14ac:dyDescent="0.45">
      <c r="A32" s="11"/>
      <c r="B32" s="19"/>
      <c r="C32" s="19"/>
      <c r="D32" s="19"/>
      <c r="E32" s="19"/>
      <c r="F32" s="23" t="s">
        <v>172</v>
      </c>
    </row>
    <row r="33" spans="1:6" ht="39.950000000000003" customHeight="1" x14ac:dyDescent="0.45">
      <c r="A33" s="11"/>
      <c r="B33" s="19"/>
      <c r="C33" s="19"/>
      <c r="D33" s="19"/>
      <c r="E33" s="19"/>
      <c r="F33" s="23" t="s">
        <v>173</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7</v>
      </c>
      <c r="D1" s="18">
        <f>C1/Data!B2</f>
        <v>0.17499999999999999</v>
      </c>
    </row>
    <row r="2" spans="1:9" x14ac:dyDescent="0.45">
      <c r="A2" s="1"/>
      <c r="B2" s="1" t="s">
        <v>1</v>
      </c>
      <c r="C2" s="1" t="s">
        <v>2</v>
      </c>
      <c r="D2" s="1" t="s">
        <v>3</v>
      </c>
      <c r="E2" s="1" t="s">
        <v>4</v>
      </c>
      <c r="F2" s="1" t="s">
        <v>5</v>
      </c>
      <c r="H2" s="1" t="s">
        <v>9</v>
      </c>
    </row>
    <row r="3" spans="1:9" x14ac:dyDescent="0.45">
      <c r="A3" s="1"/>
      <c r="B3" s="8">
        <f>DATE(2024,9,23) + ((C1-1)*7)</f>
        <v>45600</v>
      </c>
      <c r="C3" s="8">
        <f>B3+1</f>
        <v>45601</v>
      </c>
      <c r="D3" s="8">
        <f>C3+1</f>
        <v>45602</v>
      </c>
      <c r="E3" s="8">
        <f>D3+1</f>
        <v>45603</v>
      </c>
      <c r="F3" s="8">
        <f>E3+1</f>
        <v>45604</v>
      </c>
      <c r="H3" s="5" t="s">
        <v>8</v>
      </c>
    </row>
    <row r="4" spans="1:9" x14ac:dyDescent="0.45">
      <c r="A4" s="3">
        <v>0.35416666666666669</v>
      </c>
      <c r="C4" s="29" t="s">
        <v>187</v>
      </c>
      <c r="E4" s="33"/>
      <c r="H4" s="7" t="s">
        <v>10</v>
      </c>
    </row>
    <row r="5" spans="1:9" x14ac:dyDescent="0.45">
      <c r="A5" s="3">
        <v>0.375</v>
      </c>
      <c r="B5" s="9" t="s">
        <v>11</v>
      </c>
      <c r="C5" s="28" t="s">
        <v>188</v>
      </c>
      <c r="E5" s="34"/>
      <c r="F5" s="6" t="s">
        <v>12</v>
      </c>
      <c r="H5" s="11" t="s">
        <v>22</v>
      </c>
    </row>
    <row r="6" spans="1:9" x14ac:dyDescent="0.45">
      <c r="A6" s="3">
        <v>0.39583333333333298</v>
      </c>
      <c r="B6" s="7" t="s">
        <v>7</v>
      </c>
      <c r="C6" s="28"/>
      <c r="F6" s="5" t="s">
        <v>13</v>
      </c>
    </row>
    <row r="7" spans="1:9" x14ac:dyDescent="0.45">
      <c r="A7" s="3">
        <v>0.41666666666666702</v>
      </c>
      <c r="B7" s="7"/>
      <c r="C7" s="28"/>
      <c r="F7" s="5"/>
      <c r="H7" s="1" t="s">
        <v>17</v>
      </c>
      <c r="I7" s="1"/>
    </row>
    <row r="8" spans="1:9" x14ac:dyDescent="0.45">
      <c r="A8" s="3">
        <v>0.4375</v>
      </c>
      <c r="B8" s="7"/>
      <c r="C8" s="28"/>
      <c r="F8" s="5"/>
      <c r="H8" s="1" t="s">
        <v>18</v>
      </c>
      <c r="I8" s="14" t="b">
        <v>0</v>
      </c>
    </row>
    <row r="9" spans="1:9" x14ac:dyDescent="0.45">
      <c r="A9" s="10">
        <v>0.44791666666666669</v>
      </c>
      <c r="B9" s="7"/>
      <c r="C9" s="29" t="s">
        <v>189</v>
      </c>
      <c r="E9" s="35"/>
      <c r="F9" s="5"/>
    </row>
    <row r="10" spans="1:9" x14ac:dyDescent="0.45">
      <c r="A10" s="3">
        <v>0.45833333333333398</v>
      </c>
      <c r="B10" s="7"/>
      <c r="C10" s="28" t="s">
        <v>190</v>
      </c>
      <c r="E10" s="36"/>
      <c r="F10" s="5"/>
    </row>
    <row r="11" spans="1:9" x14ac:dyDescent="0.45">
      <c r="A11" s="3">
        <v>0.47916666666666702</v>
      </c>
      <c r="B11" s="7"/>
      <c r="C11" s="28"/>
      <c r="E11" s="36"/>
      <c r="F11" s="5"/>
    </row>
    <row r="12" spans="1:9" x14ac:dyDescent="0.45">
      <c r="A12" s="3">
        <v>0.5</v>
      </c>
      <c r="B12" s="7"/>
      <c r="C12" s="28"/>
      <c r="E12" s="36"/>
      <c r="F12" s="5"/>
    </row>
    <row r="13" spans="1:9" x14ac:dyDescent="0.45">
      <c r="A13" s="3">
        <v>0.53125</v>
      </c>
      <c r="B13" s="7"/>
      <c r="C13" s="28"/>
      <c r="E13" s="36"/>
      <c r="F13" s="5"/>
    </row>
    <row r="14" spans="1:9" x14ac:dyDescent="0.45">
      <c r="A14" s="3">
        <v>0.54166666666666696</v>
      </c>
      <c r="B14" s="7"/>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5"/>
      <c r="D18" s="42"/>
      <c r="E18" s="36"/>
      <c r="F18" s="5"/>
    </row>
    <row r="19" spans="1:6" x14ac:dyDescent="0.45">
      <c r="A19" s="3">
        <v>0.64583333333333304</v>
      </c>
      <c r="C19" s="5"/>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179</v>
      </c>
      <c r="C28" s="22" t="s">
        <v>181</v>
      </c>
      <c r="D28" s="19"/>
      <c r="E28" s="23" t="s">
        <v>199</v>
      </c>
      <c r="F28" s="22" t="s">
        <v>182</v>
      </c>
    </row>
    <row r="29" spans="1:6" ht="39.950000000000003" customHeight="1" x14ac:dyDescent="0.45">
      <c r="A29" s="11"/>
      <c r="B29" s="23" t="s">
        <v>178</v>
      </c>
      <c r="C29" s="23" t="s">
        <v>193</v>
      </c>
      <c r="D29" s="19"/>
      <c r="E29" s="19"/>
      <c r="F29" s="23" t="s">
        <v>201</v>
      </c>
    </row>
    <row r="30" spans="1:6" ht="39.950000000000003" customHeight="1" x14ac:dyDescent="0.45">
      <c r="A30" s="11"/>
      <c r="B30" s="19"/>
      <c r="C30" s="19"/>
      <c r="D30" s="19"/>
      <c r="E30" s="19"/>
      <c r="F30" s="23" t="s">
        <v>200</v>
      </c>
    </row>
    <row r="31" spans="1:6" ht="39.950000000000003" customHeight="1" x14ac:dyDescent="0.45">
      <c r="A31" s="11"/>
      <c r="B31" s="19"/>
      <c r="C31" s="19"/>
      <c r="D31" s="19"/>
      <c r="E31" s="19"/>
      <c r="F31" s="23" t="s">
        <v>203</v>
      </c>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8</v>
      </c>
      <c r="D1" s="18">
        <f>C1/Data!B2</f>
        <v>0.2</v>
      </c>
    </row>
    <row r="2" spans="1:9" x14ac:dyDescent="0.45">
      <c r="A2" s="1"/>
      <c r="B2" s="1" t="s">
        <v>1</v>
      </c>
      <c r="C2" s="1" t="s">
        <v>2</v>
      </c>
      <c r="D2" s="1" t="s">
        <v>3</v>
      </c>
      <c r="E2" s="1" t="s">
        <v>4</v>
      </c>
      <c r="F2" s="1" t="s">
        <v>5</v>
      </c>
      <c r="H2" s="1" t="s">
        <v>9</v>
      </c>
    </row>
    <row r="3" spans="1:9" x14ac:dyDescent="0.45">
      <c r="A3" s="1"/>
      <c r="B3" s="8">
        <f>DATE(2024,9,23) + ((C1-1)*7)</f>
        <v>45607</v>
      </c>
      <c r="C3" s="8">
        <f>B3+1</f>
        <v>45608</v>
      </c>
      <c r="D3" s="8">
        <f>C3+1</f>
        <v>45609</v>
      </c>
      <c r="E3" s="8">
        <f>D3+1</f>
        <v>45610</v>
      </c>
      <c r="F3" s="8">
        <f>E3+1</f>
        <v>45611</v>
      </c>
      <c r="H3" s="5" t="s">
        <v>8</v>
      </c>
    </row>
    <row r="4" spans="1:9" x14ac:dyDescent="0.45">
      <c r="A4" s="3">
        <v>0.35416666666666669</v>
      </c>
      <c r="C4" s="29" t="s">
        <v>187</v>
      </c>
      <c r="H4" s="7" t="s">
        <v>10</v>
      </c>
    </row>
    <row r="5" spans="1:9" x14ac:dyDescent="0.45">
      <c r="A5" s="3">
        <v>0.375</v>
      </c>
      <c r="C5" s="28" t="s">
        <v>188</v>
      </c>
      <c r="D5" s="6" t="s">
        <v>24</v>
      </c>
      <c r="F5" s="6" t="s">
        <v>12</v>
      </c>
      <c r="H5" s="11" t="s">
        <v>22</v>
      </c>
    </row>
    <row r="6" spans="1:9" x14ac:dyDescent="0.45">
      <c r="A6" s="3">
        <v>0.39583333333333298</v>
      </c>
      <c r="C6" s="28"/>
      <c r="D6" s="5" t="s">
        <v>25</v>
      </c>
      <c r="E6" s="29" t="s">
        <v>108</v>
      </c>
      <c r="F6" s="5" t="s">
        <v>13</v>
      </c>
    </row>
    <row r="7" spans="1:9" x14ac:dyDescent="0.45">
      <c r="A7" s="3">
        <v>0.41666666666666702</v>
      </c>
      <c r="C7" s="28"/>
      <c r="D7" s="5" t="s">
        <v>194</v>
      </c>
      <c r="E7" s="32" t="s">
        <v>23</v>
      </c>
      <c r="F7" s="5"/>
      <c r="H7" s="1" t="s">
        <v>17</v>
      </c>
      <c r="I7" s="1"/>
    </row>
    <row r="8" spans="1:9" x14ac:dyDescent="0.45">
      <c r="A8" s="3">
        <v>0.4375</v>
      </c>
      <c r="C8" s="28"/>
      <c r="D8" s="5"/>
      <c r="E8" s="28"/>
      <c r="F8" s="5"/>
      <c r="H8" s="1" t="s">
        <v>18</v>
      </c>
      <c r="I8" s="14" t="b">
        <v>0</v>
      </c>
    </row>
    <row r="9" spans="1:9" x14ac:dyDescent="0.45">
      <c r="A9" s="10">
        <v>0.44791666666666669</v>
      </c>
      <c r="C9" s="29" t="s">
        <v>189</v>
      </c>
      <c r="D9" s="5"/>
      <c r="E9" s="30"/>
      <c r="F9" s="5"/>
    </row>
    <row r="10" spans="1:9" x14ac:dyDescent="0.45">
      <c r="A10" s="3">
        <v>0.45833333333333398</v>
      </c>
      <c r="C10" s="28" t="s">
        <v>190</v>
      </c>
      <c r="D10" s="5"/>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3" t="s">
        <v>32</v>
      </c>
      <c r="C28" s="22" t="s">
        <v>183</v>
      </c>
      <c r="D28" s="22" t="s">
        <v>205</v>
      </c>
      <c r="E28" s="22" t="s">
        <v>148</v>
      </c>
      <c r="F28" s="22" t="s">
        <v>184</v>
      </c>
    </row>
    <row r="29" spans="1:6" ht="39.950000000000003" customHeight="1" x14ac:dyDescent="0.45">
      <c r="A29" s="11"/>
      <c r="B29" s="23" t="s">
        <v>204</v>
      </c>
      <c r="C29" s="23" t="s">
        <v>198</v>
      </c>
      <c r="D29" s="19"/>
      <c r="E29" s="19"/>
      <c r="F29" s="23" t="s">
        <v>206</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9</v>
      </c>
      <c r="D1" s="18">
        <f>C1/Data!B2</f>
        <v>0.22500000000000001</v>
      </c>
    </row>
    <row r="2" spans="1:9" x14ac:dyDescent="0.45">
      <c r="A2" s="1"/>
      <c r="B2" s="1" t="s">
        <v>1</v>
      </c>
      <c r="C2" s="1" t="s">
        <v>2</v>
      </c>
      <c r="D2" s="1" t="s">
        <v>3</v>
      </c>
      <c r="E2" s="1" t="s">
        <v>4</v>
      </c>
      <c r="F2" s="1" t="s">
        <v>5</v>
      </c>
      <c r="H2" s="1" t="s">
        <v>9</v>
      </c>
    </row>
    <row r="3" spans="1:9" x14ac:dyDescent="0.45">
      <c r="A3" s="1"/>
      <c r="B3" s="8">
        <f>DATE(2024,9,23) + ((C1-1)*7)</f>
        <v>45614</v>
      </c>
      <c r="C3" s="8">
        <f>B3+1</f>
        <v>45615</v>
      </c>
      <c r="D3" s="8">
        <f>C3+1</f>
        <v>45616</v>
      </c>
      <c r="E3" s="8">
        <f>D3+1</f>
        <v>45617</v>
      </c>
      <c r="F3" s="8">
        <f>E3+1</f>
        <v>45618</v>
      </c>
      <c r="H3" s="5" t="s">
        <v>8</v>
      </c>
    </row>
    <row r="4" spans="1:9" x14ac:dyDescent="0.45">
      <c r="A4" s="3">
        <v>0.35416666666666669</v>
      </c>
      <c r="C4" s="29" t="s">
        <v>187</v>
      </c>
      <c r="D4" s="33"/>
      <c r="E4" s="33"/>
      <c r="H4" s="7" t="s">
        <v>10</v>
      </c>
    </row>
    <row r="5" spans="1:9" x14ac:dyDescent="0.45">
      <c r="A5" s="3">
        <v>0.375</v>
      </c>
      <c r="C5" s="28" t="s">
        <v>188</v>
      </c>
      <c r="D5" s="34"/>
      <c r="E5" s="34"/>
      <c r="F5" s="48" t="s">
        <v>12</v>
      </c>
      <c r="H5" s="11" t="s">
        <v>22</v>
      </c>
    </row>
    <row r="6" spans="1:9" x14ac:dyDescent="0.45">
      <c r="A6" s="3">
        <v>0.39583333333333298</v>
      </c>
      <c r="C6" s="28"/>
      <c r="F6" s="49" t="s">
        <v>13</v>
      </c>
    </row>
    <row r="7" spans="1:9" x14ac:dyDescent="0.45">
      <c r="A7" s="3">
        <v>0.41666666666666702</v>
      </c>
      <c r="C7" s="28"/>
      <c r="F7" s="49"/>
      <c r="H7" s="1" t="s">
        <v>17</v>
      </c>
      <c r="I7" s="1"/>
    </row>
    <row r="8" spans="1:9" x14ac:dyDescent="0.45">
      <c r="A8" s="3">
        <v>0.4375</v>
      </c>
      <c r="C8" s="28"/>
      <c r="F8" s="49"/>
      <c r="H8" s="1" t="s">
        <v>18</v>
      </c>
      <c r="I8" s="14" t="b">
        <v>0</v>
      </c>
    </row>
    <row r="9" spans="1:9" x14ac:dyDescent="0.45">
      <c r="A9" s="10">
        <v>0.44791666666666669</v>
      </c>
      <c r="C9" s="29" t="s">
        <v>189</v>
      </c>
      <c r="D9" s="35"/>
      <c r="E9" s="35"/>
      <c r="F9" s="49"/>
    </row>
    <row r="10" spans="1:9" x14ac:dyDescent="0.45">
      <c r="A10" s="3">
        <v>0.45833333333333398</v>
      </c>
      <c r="C10" s="28" t="s">
        <v>190</v>
      </c>
      <c r="D10" s="36"/>
      <c r="E10" s="36"/>
      <c r="F10" s="49"/>
    </row>
    <row r="11" spans="1:9" x14ac:dyDescent="0.45">
      <c r="A11" s="3">
        <v>0.47916666666666702</v>
      </c>
      <c r="C11" s="28"/>
      <c r="E11" s="36"/>
      <c r="F11" s="49"/>
    </row>
    <row r="12" spans="1:9" x14ac:dyDescent="0.45">
      <c r="A12" s="3">
        <v>0.5</v>
      </c>
      <c r="C12" s="28"/>
      <c r="E12" s="36"/>
      <c r="F12" s="49"/>
    </row>
    <row r="13" spans="1:9" x14ac:dyDescent="0.45">
      <c r="A13" s="3">
        <v>0.53125</v>
      </c>
      <c r="C13" s="28"/>
      <c r="E13" s="36"/>
      <c r="F13" s="49"/>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48" t="s">
        <v>12</v>
      </c>
    </row>
    <row r="17" spans="1:6" x14ac:dyDescent="0.45">
      <c r="A17" s="3">
        <v>0.60416666666666696</v>
      </c>
      <c r="B17" s="5" t="s">
        <v>7</v>
      </c>
      <c r="C17" s="5" t="s">
        <v>13</v>
      </c>
      <c r="D17" s="42" t="s">
        <v>16</v>
      </c>
      <c r="E17" s="34"/>
      <c r="F17" s="49" t="s">
        <v>13</v>
      </c>
    </row>
    <row r="18" spans="1:6" x14ac:dyDescent="0.45">
      <c r="A18" s="3">
        <v>0.625</v>
      </c>
      <c r="B18" s="6" t="s">
        <v>57</v>
      </c>
      <c r="C18" s="5"/>
      <c r="D18" s="42" t="s">
        <v>144</v>
      </c>
      <c r="E18" s="36"/>
      <c r="F18" s="49"/>
    </row>
    <row r="19" spans="1:6" x14ac:dyDescent="0.45">
      <c r="A19" s="3">
        <v>0.64583333333333304</v>
      </c>
      <c r="B19" s="5"/>
      <c r="C19" s="5"/>
      <c r="D19" s="42"/>
      <c r="E19" s="36"/>
      <c r="F19" s="49"/>
    </row>
    <row r="20" spans="1:6" x14ac:dyDescent="0.45">
      <c r="A20" s="3">
        <v>0.66666666666666696</v>
      </c>
      <c r="B20" s="5"/>
      <c r="C20" s="5"/>
      <c r="D20" s="42"/>
      <c r="E20" s="36"/>
      <c r="F20" s="49"/>
    </row>
    <row r="21" spans="1:6" x14ac:dyDescent="0.45">
      <c r="A21" s="3">
        <v>0.6875</v>
      </c>
      <c r="B21" s="5"/>
      <c r="C21" s="5"/>
      <c r="D21" s="6" t="s">
        <v>14</v>
      </c>
      <c r="F21" s="49"/>
    </row>
    <row r="22" spans="1:6" x14ac:dyDescent="0.45">
      <c r="A22" s="3">
        <v>0.70833333333333304</v>
      </c>
      <c r="B22" s="5"/>
      <c r="C22" s="5"/>
      <c r="D22" s="5" t="s">
        <v>16</v>
      </c>
      <c r="F22" s="49"/>
    </row>
    <row r="23" spans="1:6" x14ac:dyDescent="0.45">
      <c r="A23" s="3">
        <v>0.72916666666666696</v>
      </c>
      <c r="B23" s="5"/>
      <c r="C23" s="5"/>
      <c r="D23" s="5"/>
      <c r="F23" s="49"/>
    </row>
    <row r="24" spans="1:6" x14ac:dyDescent="0.45">
      <c r="A24" s="3">
        <v>0.75</v>
      </c>
      <c r="B24" s="5"/>
      <c r="C24" s="5"/>
      <c r="D24" s="5"/>
      <c r="F24" s="49"/>
    </row>
    <row r="25" spans="1:6" x14ac:dyDescent="0.45">
      <c r="A25" s="3">
        <v>0.76041666666666663</v>
      </c>
      <c r="B25" s="5"/>
      <c r="C25" s="5"/>
      <c r="D25" s="5"/>
      <c r="F25" s="49"/>
    </row>
    <row r="26" spans="1:6" x14ac:dyDescent="0.45">
      <c r="A26" s="2"/>
    </row>
    <row r="27" spans="1:6" x14ac:dyDescent="0.45">
      <c r="A27" s="15" t="s">
        <v>19</v>
      </c>
      <c r="B27" s="11"/>
      <c r="C27" s="11"/>
      <c r="D27" s="11"/>
      <c r="E27" s="11"/>
      <c r="F27" s="11"/>
    </row>
    <row r="28" spans="1:6" ht="39.950000000000003" customHeight="1" x14ac:dyDescent="0.45">
      <c r="A28" s="15"/>
      <c r="B28" s="22" t="s">
        <v>192</v>
      </c>
      <c r="C28" s="22" t="s">
        <v>185</v>
      </c>
      <c r="D28" s="22" t="s">
        <v>143</v>
      </c>
      <c r="E28" s="47" t="s">
        <v>224</v>
      </c>
      <c r="F28" s="22" t="s">
        <v>207</v>
      </c>
    </row>
    <row r="29" spans="1:6" ht="39.950000000000003" customHeight="1" x14ac:dyDescent="0.45">
      <c r="A29" s="11"/>
      <c r="B29" s="23" t="s">
        <v>208</v>
      </c>
      <c r="C29" s="23" t="s">
        <v>198</v>
      </c>
      <c r="D29" s="47" t="s">
        <v>223</v>
      </c>
      <c r="E29" s="23" t="s">
        <v>225</v>
      </c>
      <c r="F29" s="23" t="s">
        <v>217</v>
      </c>
    </row>
    <row r="30" spans="1:6" ht="39.950000000000003" customHeight="1" x14ac:dyDescent="0.45">
      <c r="A30" s="11"/>
      <c r="B30" s="47" t="s">
        <v>219</v>
      </c>
      <c r="C30" s="23" t="s">
        <v>210</v>
      </c>
      <c r="D30" s="17"/>
      <c r="E30" s="17"/>
      <c r="F30" s="23" t="s">
        <v>228</v>
      </c>
    </row>
    <row r="31" spans="1:6" ht="39.950000000000003" customHeight="1" x14ac:dyDescent="0.45">
      <c r="A31" s="11"/>
      <c r="B31" s="17"/>
      <c r="C31" s="23" t="s">
        <v>221</v>
      </c>
      <c r="D31" s="17"/>
      <c r="E31" s="17"/>
      <c r="F31" s="23" t="s">
        <v>218</v>
      </c>
    </row>
    <row r="32" spans="1:6" ht="39.950000000000003" customHeight="1" x14ac:dyDescent="0.45">
      <c r="A32" s="11"/>
      <c r="B32" s="17"/>
      <c r="C32" s="47" t="s">
        <v>222</v>
      </c>
      <c r="D32" s="17"/>
      <c r="E32" s="17"/>
      <c r="F32" s="23" t="s">
        <v>228</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10</v>
      </c>
      <c r="D1" s="18">
        <f>C1/Data!B2</f>
        <v>0.25</v>
      </c>
    </row>
    <row r="2" spans="1:9" x14ac:dyDescent="0.45">
      <c r="A2" s="1"/>
      <c r="B2" s="1" t="s">
        <v>1</v>
      </c>
      <c r="C2" s="1" t="s">
        <v>2</v>
      </c>
      <c r="D2" s="1" t="s">
        <v>3</v>
      </c>
      <c r="E2" s="1" t="s">
        <v>4</v>
      </c>
      <c r="F2" s="1" t="s">
        <v>5</v>
      </c>
      <c r="H2" s="1" t="s">
        <v>9</v>
      </c>
    </row>
    <row r="3" spans="1:9" x14ac:dyDescent="0.45">
      <c r="A3" s="1"/>
      <c r="B3" s="8">
        <f>DATE(2024,9,23) + ((C1-1)*7)</f>
        <v>45621</v>
      </c>
      <c r="C3" s="8">
        <f>B3+1</f>
        <v>45622</v>
      </c>
      <c r="D3" s="8">
        <f>C3+1</f>
        <v>45623</v>
      </c>
      <c r="E3" s="8">
        <f>D3+1</f>
        <v>45624</v>
      </c>
      <c r="F3" s="8">
        <f>E3+1</f>
        <v>45625</v>
      </c>
      <c r="H3" s="5" t="s">
        <v>8</v>
      </c>
    </row>
    <row r="4" spans="1:9" x14ac:dyDescent="0.45">
      <c r="A4" s="3">
        <v>0.35416666666666669</v>
      </c>
      <c r="C4" s="29" t="s">
        <v>187</v>
      </c>
      <c r="H4" s="7" t="s">
        <v>10</v>
      </c>
    </row>
    <row r="5" spans="1:9" x14ac:dyDescent="0.45">
      <c r="A5" s="3">
        <v>0.375</v>
      </c>
      <c r="B5" s="9" t="s">
        <v>11</v>
      </c>
      <c r="C5" s="28" t="s">
        <v>188</v>
      </c>
      <c r="D5" s="6" t="s">
        <v>24</v>
      </c>
      <c r="F5" s="6" t="s">
        <v>12</v>
      </c>
      <c r="H5" s="11" t="s">
        <v>22</v>
      </c>
    </row>
    <row r="6" spans="1:9" x14ac:dyDescent="0.45">
      <c r="A6" s="3">
        <v>0.39583333333333298</v>
      </c>
      <c r="B6" s="7" t="s">
        <v>7</v>
      </c>
      <c r="C6" s="28"/>
      <c r="D6" s="5" t="s">
        <v>25</v>
      </c>
      <c r="E6" s="29" t="s">
        <v>108</v>
      </c>
      <c r="F6" s="5" t="s">
        <v>13</v>
      </c>
    </row>
    <row r="7" spans="1:9" x14ac:dyDescent="0.45">
      <c r="A7" s="3">
        <v>0.41666666666666702</v>
      </c>
      <c r="B7" s="7"/>
      <c r="C7" s="28"/>
      <c r="D7" s="5" t="s">
        <v>195</v>
      </c>
      <c r="E7" s="32" t="s">
        <v>23</v>
      </c>
      <c r="F7" s="5"/>
      <c r="H7" s="1" t="s">
        <v>17</v>
      </c>
      <c r="I7" s="1"/>
    </row>
    <row r="8" spans="1:9" x14ac:dyDescent="0.45">
      <c r="A8" s="3">
        <v>0.4375</v>
      </c>
      <c r="B8" s="7"/>
      <c r="C8" s="28"/>
      <c r="D8" s="5"/>
      <c r="E8" s="28"/>
      <c r="F8" s="5"/>
      <c r="H8" s="1" t="s">
        <v>18</v>
      </c>
      <c r="I8" s="14" t="b">
        <v>0</v>
      </c>
    </row>
    <row r="9" spans="1:9" x14ac:dyDescent="0.45">
      <c r="A9" s="10">
        <v>0.44791666666666669</v>
      </c>
      <c r="B9" s="7"/>
      <c r="C9" s="29" t="s">
        <v>189</v>
      </c>
      <c r="D9" s="5"/>
      <c r="E9" s="30"/>
      <c r="F9" s="5"/>
    </row>
    <row r="10" spans="1:9" x14ac:dyDescent="0.45">
      <c r="A10" s="3">
        <v>0.45833333333333398</v>
      </c>
      <c r="B10" s="7"/>
      <c r="C10" s="28" t="s">
        <v>190</v>
      </c>
      <c r="D10" s="5"/>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209</v>
      </c>
      <c r="C28" s="22" t="s">
        <v>198</v>
      </c>
      <c r="D28" s="22" t="s">
        <v>232</v>
      </c>
      <c r="E28" s="22" t="s">
        <v>233</v>
      </c>
      <c r="F28" s="22" t="s">
        <v>226</v>
      </c>
    </row>
    <row r="29" spans="1:6" ht="39.950000000000003" customHeight="1" x14ac:dyDescent="0.45">
      <c r="A29" s="11"/>
      <c r="B29" s="22" t="s">
        <v>220</v>
      </c>
      <c r="C29" s="22" t="s">
        <v>238</v>
      </c>
      <c r="D29" s="22" t="s">
        <v>239</v>
      </c>
      <c r="E29" s="22" t="s">
        <v>241</v>
      </c>
      <c r="F29" s="22" t="s">
        <v>227</v>
      </c>
    </row>
    <row r="30" spans="1:6" ht="39.950000000000003" customHeight="1" x14ac:dyDescent="0.45">
      <c r="A30" s="11"/>
      <c r="B30" s="22" t="s">
        <v>216</v>
      </c>
      <c r="C30" s="16"/>
      <c r="D30" s="22" t="s">
        <v>234</v>
      </c>
      <c r="E30" s="16"/>
      <c r="F30" s="22" t="s">
        <v>229</v>
      </c>
    </row>
    <row r="31" spans="1:6" ht="39.950000000000003" customHeight="1" x14ac:dyDescent="0.45">
      <c r="A31" s="11"/>
      <c r="B31" s="22" t="s">
        <v>230</v>
      </c>
      <c r="C31" s="16"/>
      <c r="D31" s="16"/>
      <c r="E31" s="16"/>
      <c r="F31" s="22" t="s">
        <v>235</v>
      </c>
    </row>
    <row r="32" spans="1:6" ht="39.950000000000003" customHeight="1" x14ac:dyDescent="0.45">
      <c r="A32" s="11"/>
      <c r="B32" s="22" t="s">
        <v>231</v>
      </c>
      <c r="C32" s="16"/>
      <c r="D32" s="16"/>
      <c r="E32" s="16"/>
      <c r="F32" s="22" t="s">
        <v>242</v>
      </c>
    </row>
    <row r="33" spans="1:6" ht="39.950000000000003" customHeight="1" x14ac:dyDescent="0.45">
      <c r="A33" s="11"/>
      <c r="B33" s="16"/>
      <c r="C33" s="16"/>
      <c r="D33" s="16"/>
      <c r="E33" s="16"/>
      <c r="F33" s="22" t="s">
        <v>240</v>
      </c>
    </row>
    <row r="34" spans="1:6" ht="39.950000000000003" customHeight="1" x14ac:dyDescent="0.45">
      <c r="A34" s="11"/>
      <c r="B34" s="16"/>
      <c r="C34" s="16"/>
      <c r="D34" s="16"/>
      <c r="E34" s="16"/>
      <c r="F34" s="22" t="s">
        <v>245</v>
      </c>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11</v>
      </c>
      <c r="D1" s="18">
        <f>C1/Data!B2</f>
        <v>0.27500000000000002</v>
      </c>
    </row>
    <row r="2" spans="1:9" x14ac:dyDescent="0.45">
      <c r="A2" s="1"/>
      <c r="B2" s="1" t="s">
        <v>1</v>
      </c>
      <c r="C2" s="1" t="s">
        <v>2</v>
      </c>
      <c r="D2" s="1" t="s">
        <v>3</v>
      </c>
      <c r="E2" s="1" t="s">
        <v>4</v>
      </c>
      <c r="F2" s="1" t="s">
        <v>5</v>
      </c>
      <c r="H2" s="1" t="s">
        <v>9</v>
      </c>
    </row>
    <row r="3" spans="1:9" x14ac:dyDescent="0.45">
      <c r="A3" s="1"/>
      <c r="B3" s="8">
        <f>DATE(2024,9,23) + ((C1-1)*7)</f>
        <v>45628</v>
      </c>
      <c r="C3" s="8">
        <f>B3+1</f>
        <v>45629</v>
      </c>
      <c r="D3" s="8">
        <f>C3+1</f>
        <v>45630</v>
      </c>
      <c r="E3" s="8">
        <f>D3+1</f>
        <v>45631</v>
      </c>
      <c r="F3" s="8">
        <f>E3+1</f>
        <v>45632</v>
      </c>
      <c r="H3" s="5" t="s">
        <v>8</v>
      </c>
    </row>
    <row r="4" spans="1:9" x14ac:dyDescent="0.45">
      <c r="A4" s="3">
        <v>0.35416666666666669</v>
      </c>
      <c r="C4" s="29" t="s">
        <v>187</v>
      </c>
      <c r="D4" s="33"/>
      <c r="E4" s="33"/>
      <c r="H4" s="7" t="s">
        <v>10</v>
      </c>
    </row>
    <row r="5" spans="1:9" x14ac:dyDescent="0.45">
      <c r="A5" s="3">
        <v>0.375</v>
      </c>
      <c r="C5" s="28" t="s">
        <v>188</v>
      </c>
      <c r="D5" s="34"/>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189</v>
      </c>
      <c r="D9" s="35"/>
      <c r="E9" s="35"/>
      <c r="F9" s="5"/>
    </row>
    <row r="10" spans="1:9" x14ac:dyDescent="0.45">
      <c r="A10" s="3">
        <v>0.45833333333333398</v>
      </c>
      <c r="C10" s="28" t="s">
        <v>190</v>
      </c>
      <c r="D10" s="36"/>
      <c r="E10" s="36"/>
      <c r="F10" s="5"/>
    </row>
    <row r="11" spans="1:9" x14ac:dyDescent="0.45">
      <c r="A11" s="3">
        <v>0.47916666666666702</v>
      </c>
      <c r="C11" s="28"/>
      <c r="E11" s="36"/>
      <c r="F11" s="5"/>
    </row>
    <row r="12" spans="1:9" x14ac:dyDescent="0.45">
      <c r="A12" s="3">
        <v>0.5</v>
      </c>
      <c r="C12" s="28"/>
      <c r="E12" s="36"/>
      <c r="F12" s="5"/>
    </row>
    <row r="13" spans="1:9" x14ac:dyDescent="0.45">
      <c r="A13" s="3">
        <v>0.53125</v>
      </c>
      <c r="C13" s="28"/>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6" x14ac:dyDescent="0.45">
      <c r="A17" s="3">
        <v>0.60416666666666696</v>
      </c>
      <c r="B17" s="5" t="s">
        <v>7</v>
      </c>
      <c r="C17" s="5" t="s">
        <v>13</v>
      </c>
      <c r="D17" s="42" t="s">
        <v>16</v>
      </c>
      <c r="E17" s="34"/>
      <c r="F17" s="5" t="s">
        <v>13</v>
      </c>
    </row>
    <row r="18" spans="1:6" x14ac:dyDescent="0.45">
      <c r="A18" s="3">
        <v>0.625</v>
      </c>
      <c r="B18" s="6" t="s">
        <v>58</v>
      </c>
      <c r="C18" s="5"/>
      <c r="D18" s="42"/>
      <c r="E18" s="36"/>
      <c r="F18" s="5"/>
    </row>
    <row r="19" spans="1:6" x14ac:dyDescent="0.45">
      <c r="A19" s="3">
        <v>0.64583333333333304</v>
      </c>
      <c r="B19" s="5"/>
      <c r="C19" s="5"/>
      <c r="D19" s="42"/>
      <c r="E19" s="36"/>
      <c r="F19" s="5"/>
    </row>
    <row r="20" spans="1:6" x14ac:dyDescent="0.45">
      <c r="A20" s="3">
        <v>0.66666666666666696</v>
      </c>
      <c r="B20" s="5"/>
      <c r="C20" s="5"/>
      <c r="D20" s="42"/>
      <c r="E20" s="36"/>
      <c r="F20" s="5"/>
    </row>
    <row r="21" spans="1:6" x14ac:dyDescent="0.45">
      <c r="A21" s="3">
        <v>0.6875</v>
      </c>
      <c r="B21" s="5"/>
      <c r="C21" s="5"/>
      <c r="D21" s="6" t="s">
        <v>14</v>
      </c>
      <c r="F21" s="5"/>
    </row>
    <row r="22" spans="1:6" x14ac:dyDescent="0.45">
      <c r="A22" s="3">
        <v>0.70833333333333304</v>
      </c>
      <c r="B22" s="5"/>
      <c r="C22" s="5"/>
      <c r="D22" s="5" t="s">
        <v>16</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211</v>
      </c>
      <c r="C28" s="22" t="s">
        <v>198</v>
      </c>
      <c r="D28" s="23" t="s">
        <v>257</v>
      </c>
      <c r="E28" s="22" t="s">
        <v>202</v>
      </c>
      <c r="F28" s="23" t="s">
        <v>213</v>
      </c>
    </row>
    <row r="29" spans="1:6" ht="39.950000000000003" customHeight="1" x14ac:dyDescent="0.45">
      <c r="A29" s="11"/>
      <c r="B29" s="23" t="s">
        <v>212</v>
      </c>
      <c r="C29" s="23" t="s">
        <v>236</v>
      </c>
      <c r="D29" s="23" t="s">
        <v>258</v>
      </c>
      <c r="E29" s="23" t="s">
        <v>246</v>
      </c>
      <c r="F29" s="23" t="s">
        <v>247</v>
      </c>
    </row>
    <row r="30" spans="1:6" ht="39.950000000000003" customHeight="1" x14ac:dyDescent="0.45">
      <c r="A30" s="11"/>
      <c r="B30" s="23" t="s">
        <v>214</v>
      </c>
      <c r="C30" s="23" t="s">
        <v>247</v>
      </c>
      <c r="D30" s="19"/>
      <c r="E30" s="23" t="s">
        <v>255</v>
      </c>
      <c r="F30" s="23" t="s">
        <v>251</v>
      </c>
    </row>
    <row r="31" spans="1:6" ht="39.950000000000003" customHeight="1" x14ac:dyDescent="0.45">
      <c r="A31" s="11"/>
      <c r="B31" s="23" t="s">
        <v>215</v>
      </c>
      <c r="C31" s="23" t="s">
        <v>249</v>
      </c>
      <c r="D31" s="19"/>
      <c r="E31" s="23" t="s">
        <v>262</v>
      </c>
      <c r="F31" s="19"/>
    </row>
    <row r="32" spans="1:6" ht="39.950000000000003" customHeight="1" x14ac:dyDescent="0.45">
      <c r="A32" s="11"/>
      <c r="B32" s="23" t="s">
        <v>243</v>
      </c>
      <c r="C32" s="23" t="s">
        <v>250</v>
      </c>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12</v>
      </c>
      <c r="D1" s="18">
        <f>C1/Data!B2</f>
        <v>0.3</v>
      </c>
    </row>
    <row r="2" spans="1:9" x14ac:dyDescent="0.45">
      <c r="A2" s="1"/>
      <c r="B2" s="1" t="s">
        <v>1</v>
      </c>
      <c r="C2" s="1" t="s">
        <v>2</v>
      </c>
      <c r="D2" s="1" t="s">
        <v>3</v>
      </c>
      <c r="E2" s="1" t="s">
        <v>4</v>
      </c>
      <c r="F2" s="1" t="s">
        <v>5</v>
      </c>
      <c r="H2" s="1" t="s">
        <v>9</v>
      </c>
    </row>
    <row r="3" spans="1:9" x14ac:dyDescent="0.45">
      <c r="A3" s="1"/>
      <c r="B3" s="8">
        <f>DATE(2024,9,23) + ((C1-1)*7)</f>
        <v>45635</v>
      </c>
      <c r="C3" s="8">
        <f>B3+1</f>
        <v>45636</v>
      </c>
      <c r="D3" s="8">
        <f>C3+1</f>
        <v>45637</v>
      </c>
      <c r="E3" s="8">
        <f>D3+1</f>
        <v>45638</v>
      </c>
      <c r="F3" s="8">
        <f>E3+1</f>
        <v>45639</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108</v>
      </c>
      <c r="F6" s="5" t="s">
        <v>13</v>
      </c>
    </row>
    <row r="7" spans="1:9" x14ac:dyDescent="0.45">
      <c r="A7" s="3">
        <v>0.41666666666666702</v>
      </c>
      <c r="B7" s="7"/>
      <c r="D7" s="5" t="s">
        <v>196</v>
      </c>
      <c r="E7" s="32" t="s">
        <v>23</v>
      </c>
      <c r="F7" s="5"/>
      <c r="H7" s="1" t="s">
        <v>17</v>
      </c>
      <c r="I7" s="1"/>
    </row>
    <row r="8" spans="1:9" x14ac:dyDescent="0.45">
      <c r="A8" s="3">
        <v>0.4375</v>
      </c>
      <c r="B8" s="7"/>
      <c r="D8" s="5"/>
      <c r="E8" s="28"/>
      <c r="F8" s="5"/>
      <c r="H8" s="1" t="s">
        <v>18</v>
      </c>
      <c r="I8" s="14" t="b">
        <v>0</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ht="28.5" x14ac:dyDescent="0.45">
      <c r="A13" s="3">
        <v>0.53125</v>
      </c>
      <c r="B13" s="7"/>
      <c r="C13" s="16" t="s">
        <v>266</v>
      </c>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244</v>
      </c>
      <c r="C28" s="22" t="s">
        <v>247</v>
      </c>
      <c r="D28" s="22" t="s">
        <v>265</v>
      </c>
      <c r="E28" s="22" t="s">
        <v>291</v>
      </c>
      <c r="F28" s="22" t="s">
        <v>247</v>
      </c>
    </row>
    <row r="29" spans="1:6" ht="39.950000000000003" customHeight="1" x14ac:dyDescent="0.45">
      <c r="A29" s="11"/>
      <c r="B29" s="22" t="s">
        <v>254</v>
      </c>
      <c r="C29" s="22" t="s">
        <v>176</v>
      </c>
      <c r="D29" s="22" t="s">
        <v>288</v>
      </c>
      <c r="E29" s="22" t="s">
        <v>264</v>
      </c>
      <c r="F29" s="22" t="s">
        <v>300</v>
      </c>
    </row>
    <row r="30" spans="1:6" ht="39.950000000000003" customHeight="1" x14ac:dyDescent="0.45">
      <c r="A30" s="11"/>
      <c r="B30" s="22" t="s">
        <v>259</v>
      </c>
      <c r="C30" s="22" t="s">
        <v>266</v>
      </c>
      <c r="D30" s="22" t="s">
        <v>296</v>
      </c>
      <c r="E30" s="22" t="s">
        <v>256</v>
      </c>
      <c r="F30" s="22" t="s">
        <v>305</v>
      </c>
    </row>
    <row r="31" spans="1:6" ht="39.950000000000003" customHeight="1" x14ac:dyDescent="0.45">
      <c r="A31" s="11"/>
      <c r="B31" s="22" t="s">
        <v>263</v>
      </c>
      <c r="C31" s="22" t="s">
        <v>287</v>
      </c>
      <c r="D31" s="22" t="s">
        <v>269</v>
      </c>
      <c r="E31" s="22" t="s">
        <v>270</v>
      </c>
      <c r="F31" s="22" t="s">
        <v>303</v>
      </c>
    </row>
    <row r="32" spans="1:6" ht="39.950000000000003" customHeight="1" x14ac:dyDescent="0.45">
      <c r="A32" s="11"/>
      <c r="B32" s="22" t="s">
        <v>260</v>
      </c>
      <c r="C32" s="22" t="s">
        <v>268</v>
      </c>
      <c r="D32" s="16"/>
      <c r="E32" s="22" t="s">
        <v>293</v>
      </c>
      <c r="F32" s="22" t="s">
        <v>304</v>
      </c>
    </row>
    <row r="33" spans="1:6" ht="39.950000000000003" customHeight="1" x14ac:dyDescent="0.45">
      <c r="A33" s="11"/>
      <c r="B33" s="22" t="s">
        <v>267</v>
      </c>
      <c r="C33" s="22" t="s">
        <v>271</v>
      </c>
      <c r="D33" s="16"/>
      <c r="E33" s="22" t="s">
        <v>294</v>
      </c>
      <c r="F33" s="16"/>
    </row>
    <row r="34" spans="1:6" ht="39.950000000000003" customHeight="1" x14ac:dyDescent="0.45">
      <c r="A34" s="11"/>
      <c r="B34" s="16"/>
      <c r="C34" s="22" t="s">
        <v>292</v>
      </c>
      <c r="D34" s="16"/>
      <c r="E34" s="16"/>
      <c r="F34" s="16"/>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13</v>
      </c>
      <c r="D1" s="18">
        <f>C1/Data!B2</f>
        <v>0.32500000000000001</v>
      </c>
    </row>
    <row r="2" spans="1:9" x14ac:dyDescent="0.45">
      <c r="A2" s="1"/>
      <c r="B2" s="1" t="s">
        <v>1</v>
      </c>
      <c r="C2" s="1" t="s">
        <v>2</v>
      </c>
      <c r="D2" s="1" t="s">
        <v>3</v>
      </c>
      <c r="E2" s="1" t="s">
        <v>4</v>
      </c>
      <c r="F2" s="1" t="s">
        <v>5</v>
      </c>
      <c r="H2" s="1" t="s">
        <v>9</v>
      </c>
    </row>
    <row r="3" spans="1:9" x14ac:dyDescent="0.45">
      <c r="A3" s="1"/>
      <c r="B3" s="8">
        <f>DATE(2024,9,23) + ((C1-1)*7)</f>
        <v>45642</v>
      </c>
      <c r="C3" s="8">
        <f>B3+1</f>
        <v>45643</v>
      </c>
      <c r="D3" s="8">
        <f>C3+1</f>
        <v>45644</v>
      </c>
      <c r="E3" s="8">
        <f>D3+1</f>
        <v>45645</v>
      </c>
      <c r="F3" s="8">
        <f>E3+1</f>
        <v>45646</v>
      </c>
      <c r="H3" s="5" t="s">
        <v>8</v>
      </c>
    </row>
    <row r="4" spans="1:9" x14ac:dyDescent="0.45">
      <c r="A4" s="3">
        <v>0.35416666666666669</v>
      </c>
      <c r="D4" s="33"/>
      <c r="E4" s="33"/>
      <c r="H4" s="7" t="s">
        <v>10</v>
      </c>
    </row>
    <row r="5" spans="1:9" x14ac:dyDescent="0.45">
      <c r="A5" s="3">
        <v>0.375</v>
      </c>
      <c r="D5" s="34"/>
      <c r="E5" s="34"/>
      <c r="F5" s="6" t="s">
        <v>12</v>
      </c>
      <c r="H5" s="11" t="s">
        <v>22</v>
      </c>
    </row>
    <row r="6" spans="1:9" x14ac:dyDescent="0.45">
      <c r="A6" s="3">
        <v>0.39583333333333298</v>
      </c>
      <c r="F6" s="5" t="s">
        <v>13</v>
      </c>
    </row>
    <row r="7" spans="1:9" x14ac:dyDescent="0.45">
      <c r="A7" s="3">
        <v>0.41666666666666702</v>
      </c>
      <c r="F7" s="5"/>
      <c r="H7" s="1" t="s">
        <v>17</v>
      </c>
      <c r="I7" s="1"/>
    </row>
    <row r="8" spans="1:9" x14ac:dyDescent="0.45">
      <c r="A8" s="3">
        <v>0.4375</v>
      </c>
      <c r="F8" s="5"/>
      <c r="H8" s="1" t="s">
        <v>18</v>
      </c>
      <c r="I8" s="14" t="b">
        <v>0</v>
      </c>
    </row>
    <row r="9" spans="1:9" x14ac:dyDescent="0.45">
      <c r="A9" s="10">
        <v>0.44791666666666669</v>
      </c>
      <c r="D9" s="35"/>
      <c r="E9" s="35"/>
      <c r="F9" s="5"/>
    </row>
    <row r="10" spans="1:9" x14ac:dyDescent="0.45">
      <c r="A10" s="3">
        <v>0.45833333333333398</v>
      </c>
      <c r="D10" s="36"/>
      <c r="E10" s="36"/>
      <c r="F10" s="5"/>
    </row>
    <row r="11" spans="1:9" x14ac:dyDescent="0.45">
      <c r="A11" s="3">
        <v>0.47916666666666702</v>
      </c>
      <c r="E11" s="36"/>
      <c r="F11" s="5"/>
    </row>
    <row r="12" spans="1:9" x14ac:dyDescent="0.45">
      <c r="A12" s="3">
        <v>0.5</v>
      </c>
      <c r="E12" s="36"/>
      <c r="F12" s="5"/>
    </row>
    <row r="13" spans="1:9" x14ac:dyDescent="0.45">
      <c r="A13" s="3">
        <v>0.53125</v>
      </c>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7" x14ac:dyDescent="0.45">
      <c r="A17" s="3">
        <v>0.60416666666666696</v>
      </c>
      <c r="B17" s="5" t="s">
        <v>7</v>
      </c>
      <c r="C17" s="5" t="s">
        <v>13</v>
      </c>
      <c r="D17" s="42" t="s">
        <v>16</v>
      </c>
      <c r="E17" s="34"/>
      <c r="F17" s="5" t="s">
        <v>13</v>
      </c>
    </row>
    <row r="18" spans="1:7" ht="28.5" x14ac:dyDescent="0.45">
      <c r="A18" s="3">
        <v>0.625</v>
      </c>
      <c r="B18" s="21" t="s">
        <v>59</v>
      </c>
      <c r="C18" s="5"/>
      <c r="D18" s="42"/>
      <c r="E18" s="36"/>
      <c r="F18" s="5"/>
    </row>
    <row r="19" spans="1:7" x14ac:dyDescent="0.45">
      <c r="A19" s="3">
        <v>0.64583333333333304</v>
      </c>
      <c r="B19" s="5"/>
      <c r="C19" s="5"/>
      <c r="D19" s="42"/>
      <c r="E19" s="36"/>
      <c r="F19" s="5"/>
    </row>
    <row r="20" spans="1:7" x14ac:dyDescent="0.45">
      <c r="A20" s="3">
        <v>0.66666666666666696</v>
      </c>
      <c r="B20" s="5"/>
      <c r="C20" s="5"/>
      <c r="D20" s="42"/>
      <c r="E20" s="36"/>
      <c r="F20" s="5"/>
    </row>
    <row r="21" spans="1:7" x14ac:dyDescent="0.45">
      <c r="A21" s="3">
        <v>0.6875</v>
      </c>
      <c r="B21" s="5"/>
      <c r="C21" s="5"/>
      <c r="D21" s="6" t="s">
        <v>14</v>
      </c>
      <c r="F21" s="5"/>
    </row>
    <row r="22" spans="1:7" x14ac:dyDescent="0.45">
      <c r="A22" s="3">
        <v>0.70833333333333304</v>
      </c>
      <c r="B22" s="5"/>
      <c r="C22" s="5"/>
      <c r="D22" s="5" t="s">
        <v>16</v>
      </c>
      <c r="F22" s="5"/>
    </row>
    <row r="23" spans="1:7" x14ac:dyDescent="0.45">
      <c r="A23" s="3">
        <v>0.72916666666666696</v>
      </c>
      <c r="B23" s="5"/>
      <c r="C23" s="5"/>
      <c r="D23" s="5"/>
      <c r="F23" s="5"/>
    </row>
    <row r="24" spans="1:7" x14ac:dyDescent="0.45">
      <c r="A24" s="3">
        <v>0.75</v>
      </c>
      <c r="B24" s="5"/>
      <c r="C24" s="5"/>
      <c r="D24" s="5"/>
      <c r="F24" s="5"/>
    </row>
    <row r="25" spans="1:7" x14ac:dyDescent="0.45">
      <c r="A25" s="3">
        <v>0.76041666666666663</v>
      </c>
      <c r="B25" s="5"/>
      <c r="C25" s="5"/>
      <c r="D25" s="5"/>
      <c r="F25" s="5"/>
    </row>
    <row r="26" spans="1:7" x14ac:dyDescent="0.45">
      <c r="A26" s="2"/>
    </row>
    <row r="27" spans="1:7" x14ac:dyDescent="0.45">
      <c r="A27" s="15" t="s">
        <v>19</v>
      </c>
      <c r="B27" s="11"/>
      <c r="C27" s="11"/>
      <c r="D27" s="11"/>
      <c r="E27" s="11"/>
      <c r="F27" s="11"/>
    </row>
    <row r="28" spans="1:7" ht="39.950000000000003" customHeight="1" x14ac:dyDescent="0.45">
      <c r="A28" s="15"/>
      <c r="B28" s="22" t="s">
        <v>237</v>
      </c>
      <c r="C28" s="22" t="s">
        <v>247</v>
      </c>
      <c r="D28" s="22" t="s">
        <v>316</v>
      </c>
      <c r="E28" s="22" t="s">
        <v>272</v>
      </c>
      <c r="F28" s="22" t="s">
        <v>247</v>
      </c>
      <c r="G28" s="61"/>
    </row>
    <row r="29" spans="1:7" ht="39.950000000000003" customHeight="1" x14ac:dyDescent="0.45">
      <c r="A29" s="11"/>
      <c r="B29" s="22" t="s">
        <v>306</v>
      </c>
      <c r="C29" s="22" t="s">
        <v>301</v>
      </c>
      <c r="D29" s="16"/>
      <c r="E29" s="22" t="s">
        <v>302</v>
      </c>
      <c r="F29" s="22" t="s">
        <v>320</v>
      </c>
      <c r="G29" s="61"/>
    </row>
    <row r="30" spans="1:7" ht="39.950000000000003" customHeight="1" x14ac:dyDescent="0.45">
      <c r="A30" s="11"/>
      <c r="B30" s="22" t="s">
        <v>299</v>
      </c>
      <c r="C30" s="22" t="s">
        <v>304</v>
      </c>
      <c r="D30" s="16"/>
      <c r="E30" s="22" t="s">
        <v>310</v>
      </c>
      <c r="F30" s="22" t="s">
        <v>331</v>
      </c>
      <c r="G30" s="61"/>
    </row>
    <row r="31" spans="1:7" ht="39.950000000000003" customHeight="1" x14ac:dyDescent="0.45">
      <c r="A31" s="11"/>
      <c r="B31" s="22" t="s">
        <v>304</v>
      </c>
      <c r="C31" s="16"/>
      <c r="D31" s="16"/>
      <c r="E31" s="22" t="s">
        <v>318</v>
      </c>
      <c r="F31" s="22" t="s">
        <v>304</v>
      </c>
      <c r="G31" s="61"/>
    </row>
    <row r="32" spans="1:7" ht="39.950000000000003" customHeight="1" x14ac:dyDescent="0.45">
      <c r="A32" s="11"/>
      <c r="B32" s="22" t="s">
        <v>317</v>
      </c>
      <c r="C32" s="16"/>
      <c r="D32" s="16"/>
      <c r="E32" s="16"/>
      <c r="F32" s="22" t="s">
        <v>326</v>
      </c>
      <c r="G32" s="61"/>
    </row>
    <row r="33" spans="1:7" ht="39.950000000000003" customHeight="1" x14ac:dyDescent="0.45">
      <c r="A33" s="11"/>
      <c r="B33" s="16"/>
      <c r="C33" s="16"/>
      <c r="D33" s="16"/>
      <c r="E33" s="16"/>
      <c r="F33" s="22" t="s">
        <v>298</v>
      </c>
      <c r="G33" s="61"/>
    </row>
    <row r="34" spans="1:7" ht="39.950000000000003" customHeight="1" x14ac:dyDescent="0.45">
      <c r="A34" s="11"/>
      <c r="B34" s="16"/>
      <c r="C34" s="16"/>
      <c r="D34" s="16"/>
      <c r="E34" s="16"/>
      <c r="F34" s="22" t="s">
        <v>344</v>
      </c>
      <c r="G34" s="61"/>
    </row>
    <row r="35" spans="1:7" ht="39.950000000000003" customHeight="1" x14ac:dyDescent="0.45">
      <c r="A35" s="11"/>
      <c r="B35" s="16"/>
      <c r="C35" s="16"/>
      <c r="D35" s="16"/>
      <c r="E35" s="16"/>
      <c r="F35" s="65" t="s">
        <v>345</v>
      </c>
    </row>
    <row r="36" spans="1:7" ht="39.950000000000003" customHeight="1" x14ac:dyDescent="0.4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14</v>
      </c>
      <c r="D1" s="18">
        <f>C1/Data!B2</f>
        <v>0.35</v>
      </c>
    </row>
    <row r="2" spans="1:9" x14ac:dyDescent="0.45">
      <c r="A2" s="1"/>
      <c r="B2" s="1" t="s">
        <v>1</v>
      </c>
      <c r="C2" s="1" t="s">
        <v>2</v>
      </c>
      <c r="D2" s="1" t="s">
        <v>3</v>
      </c>
      <c r="E2" s="1" t="s">
        <v>4</v>
      </c>
      <c r="F2" s="1" t="s">
        <v>5</v>
      </c>
      <c r="H2" s="1" t="s">
        <v>9</v>
      </c>
    </row>
    <row r="3" spans="1:9" x14ac:dyDescent="0.45">
      <c r="A3" s="1"/>
      <c r="B3" s="8">
        <f>DATE(2024,9,23) + ((C1-1)*7)</f>
        <v>45649</v>
      </c>
      <c r="C3" s="8">
        <f>B3+1</f>
        <v>45650</v>
      </c>
      <c r="D3" s="8">
        <f>C3+1</f>
        <v>45651</v>
      </c>
      <c r="E3" s="8">
        <f>D3+1</f>
        <v>45652</v>
      </c>
      <c r="F3" s="8">
        <f>E3+1</f>
        <v>45653</v>
      </c>
      <c r="H3" s="5" t="s">
        <v>8</v>
      </c>
    </row>
    <row r="4" spans="1:9" x14ac:dyDescent="0.45">
      <c r="A4" s="3">
        <v>0.35416666666666669</v>
      </c>
      <c r="D4" s="33"/>
      <c r="H4" s="7" t="s">
        <v>10</v>
      </c>
    </row>
    <row r="5" spans="1:9" x14ac:dyDescent="0.45">
      <c r="A5" s="3">
        <v>0.375</v>
      </c>
      <c r="B5" s="9" t="s">
        <v>11</v>
      </c>
      <c r="D5" s="34"/>
      <c r="F5" s="6" t="s">
        <v>12</v>
      </c>
      <c r="H5" s="11" t="s">
        <v>22</v>
      </c>
    </row>
    <row r="6" spans="1:9" x14ac:dyDescent="0.45">
      <c r="A6" s="3">
        <v>0.39583333333333298</v>
      </c>
      <c r="B6" s="7" t="s">
        <v>7</v>
      </c>
      <c r="E6" s="29" t="s">
        <v>108</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D9" s="35"/>
      <c r="E9" s="30"/>
      <c r="F9" s="5"/>
    </row>
    <row r="10" spans="1:9" x14ac:dyDescent="0.45">
      <c r="A10" s="3">
        <v>0.45833333333333398</v>
      </c>
      <c r="B10" s="7"/>
      <c r="D10" s="36"/>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108</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64" t="s">
        <v>33</v>
      </c>
      <c r="C28" s="64" t="s">
        <v>33</v>
      </c>
      <c r="D28" s="64" t="s">
        <v>33</v>
      </c>
      <c r="E28" s="64" t="s">
        <v>33</v>
      </c>
      <c r="F28" s="64" t="s">
        <v>33</v>
      </c>
    </row>
    <row r="29" spans="1:6" ht="39.950000000000003" customHeight="1" x14ac:dyDescent="0.45">
      <c r="A29" s="11"/>
      <c r="B29" s="17" t="s">
        <v>253</v>
      </c>
      <c r="C29" s="17" t="s">
        <v>253</v>
      </c>
      <c r="D29" s="17" t="s">
        <v>253</v>
      </c>
      <c r="E29" s="17" t="s">
        <v>253</v>
      </c>
      <c r="F29" s="17" t="s">
        <v>253</v>
      </c>
    </row>
    <row r="30" spans="1:6" ht="39.950000000000003" customHeight="1" x14ac:dyDescent="0.45">
      <c r="A30" s="11"/>
      <c r="B30" s="17" t="s">
        <v>328</v>
      </c>
      <c r="C30" s="17" t="s">
        <v>289</v>
      </c>
      <c r="D30" s="17" t="s">
        <v>290</v>
      </c>
      <c r="E30" s="17" t="s">
        <v>282</v>
      </c>
      <c r="F30" s="17" t="s">
        <v>282</v>
      </c>
    </row>
    <row r="31" spans="1:6" ht="39.950000000000003" customHeight="1" x14ac:dyDescent="0.45">
      <c r="A31" s="11"/>
      <c r="B31" s="17" t="s">
        <v>304</v>
      </c>
      <c r="C31" s="17" t="s">
        <v>304</v>
      </c>
      <c r="D31" s="17" t="s">
        <v>304</v>
      </c>
      <c r="E31" s="17" t="s">
        <v>284</v>
      </c>
      <c r="F31" s="17" t="s">
        <v>304</v>
      </c>
    </row>
    <row r="32" spans="1:6" ht="39.950000000000003" customHeight="1" x14ac:dyDescent="0.45">
      <c r="A32" s="11"/>
      <c r="B32" s="17" t="s">
        <v>329</v>
      </c>
      <c r="C32" s="17" t="s">
        <v>312</v>
      </c>
      <c r="D32" s="17"/>
      <c r="E32" s="17" t="s">
        <v>304</v>
      </c>
      <c r="F32" s="19" t="s">
        <v>349</v>
      </c>
    </row>
    <row r="33" spans="1:6" ht="39.950000000000003" customHeight="1" x14ac:dyDescent="0.45">
      <c r="A33" s="11"/>
      <c r="B33" s="17" t="s">
        <v>330</v>
      </c>
      <c r="C33" s="17" t="s">
        <v>327</v>
      </c>
      <c r="D33" s="17"/>
      <c r="E33" s="17" t="s">
        <v>283</v>
      </c>
      <c r="F33" s="17"/>
    </row>
    <row r="34" spans="1:6" ht="39.950000000000003" customHeight="1" x14ac:dyDescent="0.45">
      <c r="A34" s="11"/>
      <c r="B34" s="17" t="s">
        <v>340</v>
      </c>
      <c r="C34" s="17"/>
      <c r="D34" s="17"/>
      <c r="E34" s="17"/>
      <c r="F34" s="17"/>
    </row>
    <row r="35" spans="1:6" ht="39.950000000000003" customHeight="1" x14ac:dyDescent="0.45">
      <c r="A35" s="11"/>
      <c r="B35" s="16" t="s">
        <v>346</v>
      </c>
      <c r="C35" s="17"/>
      <c r="D35" s="17"/>
      <c r="E35" s="17"/>
      <c r="F35" s="17"/>
    </row>
    <row r="36" spans="1:6" ht="39.950000000000003" customHeight="1" x14ac:dyDescent="0.4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15</v>
      </c>
      <c r="D1" s="18">
        <f>C1/Data!B2</f>
        <v>0.375</v>
      </c>
    </row>
    <row r="2" spans="1:9" x14ac:dyDescent="0.45">
      <c r="A2" s="1"/>
      <c r="B2" s="1" t="s">
        <v>1</v>
      </c>
      <c r="C2" s="1" t="s">
        <v>2</v>
      </c>
      <c r="D2" s="1" t="s">
        <v>3</v>
      </c>
      <c r="E2" s="1" t="s">
        <v>4</v>
      </c>
      <c r="F2" s="1" t="s">
        <v>5</v>
      </c>
      <c r="H2" s="1" t="s">
        <v>9</v>
      </c>
    </row>
    <row r="3" spans="1:9" x14ac:dyDescent="0.45">
      <c r="A3" s="1"/>
      <c r="B3" s="8">
        <f>DATE(2024,9,23) + ((C1-1)*7)</f>
        <v>45656</v>
      </c>
      <c r="C3" s="8">
        <f>B3+1</f>
        <v>45657</v>
      </c>
      <c r="D3" s="8">
        <f>C3+1</f>
        <v>45658</v>
      </c>
      <c r="E3" s="8">
        <f>D3+1</f>
        <v>45659</v>
      </c>
      <c r="F3" s="8">
        <f>E3+1</f>
        <v>45660</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108</v>
      </c>
      <c r="F6" s="5" t="s">
        <v>13</v>
      </c>
    </row>
    <row r="7" spans="1:9" x14ac:dyDescent="0.45">
      <c r="A7" s="3">
        <v>0.41666666666666702</v>
      </c>
      <c r="B7" s="7"/>
      <c r="D7" s="5" t="s">
        <v>197</v>
      </c>
      <c r="E7" s="32" t="s">
        <v>23</v>
      </c>
      <c r="F7" s="5"/>
      <c r="H7" s="1" t="s">
        <v>17</v>
      </c>
      <c r="I7" s="1"/>
    </row>
    <row r="8" spans="1:9" x14ac:dyDescent="0.45">
      <c r="A8" s="3">
        <v>0.4375</v>
      </c>
      <c r="B8" s="7"/>
      <c r="D8" s="5"/>
      <c r="E8" s="28"/>
      <c r="F8" s="5"/>
      <c r="H8" s="1" t="s">
        <v>18</v>
      </c>
      <c r="I8" s="14" t="b">
        <v>1</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108</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33</v>
      </c>
      <c r="C28" s="16" t="s">
        <v>33</v>
      </c>
      <c r="D28" s="16" t="s">
        <v>33</v>
      </c>
      <c r="E28" s="16" t="s">
        <v>33</v>
      </c>
      <c r="F28" s="16" t="s">
        <v>33</v>
      </c>
    </row>
    <row r="29" spans="1:6" ht="39.950000000000003" customHeight="1" x14ac:dyDescent="0.45">
      <c r="A29" s="11"/>
      <c r="B29" s="17" t="s">
        <v>253</v>
      </c>
      <c r="C29" s="17" t="s">
        <v>253</v>
      </c>
      <c r="D29" s="17" t="s">
        <v>253</v>
      </c>
      <c r="E29" s="17" t="s">
        <v>253</v>
      </c>
      <c r="F29" s="17" t="s">
        <v>253</v>
      </c>
    </row>
    <row r="30" spans="1:6" ht="39.950000000000003" customHeight="1" x14ac:dyDescent="0.45">
      <c r="A30" s="11"/>
      <c r="B30" s="17" t="s">
        <v>282</v>
      </c>
      <c r="C30" s="17" t="s">
        <v>282</v>
      </c>
      <c r="D30" s="17" t="s">
        <v>282</v>
      </c>
      <c r="E30" s="17" t="s">
        <v>282</v>
      </c>
      <c r="F30" s="17" t="s">
        <v>282</v>
      </c>
    </row>
    <row r="31" spans="1:6" ht="39.950000000000003" customHeight="1" x14ac:dyDescent="0.45">
      <c r="A31" s="11"/>
      <c r="B31" s="17" t="s">
        <v>304</v>
      </c>
      <c r="C31" s="17" t="s">
        <v>304</v>
      </c>
      <c r="D31" s="17" t="s">
        <v>304</v>
      </c>
      <c r="E31" s="17" t="s">
        <v>304</v>
      </c>
      <c r="F31" s="17" t="s">
        <v>304</v>
      </c>
    </row>
    <row r="32" spans="1:6" ht="39.950000000000003" customHeight="1" x14ac:dyDescent="0.45">
      <c r="A32" s="11"/>
      <c r="B32" s="17"/>
      <c r="C32" s="17"/>
      <c r="D32" s="17"/>
      <c r="E32" s="17"/>
      <c r="F32" s="17" t="s">
        <v>341</v>
      </c>
    </row>
    <row r="33" spans="1:6" ht="39.950000000000003" customHeight="1" x14ac:dyDescent="0.45">
      <c r="A33" s="11"/>
      <c r="B33" s="17"/>
      <c r="C33" s="17"/>
      <c r="D33" s="17"/>
      <c r="E33" s="17"/>
      <c r="F33" s="17" t="s">
        <v>342</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16</v>
      </c>
      <c r="D1" s="18">
        <f>C1/Data!B2</f>
        <v>0.4</v>
      </c>
    </row>
    <row r="2" spans="1:9" x14ac:dyDescent="0.45">
      <c r="A2" s="1"/>
      <c r="B2" s="1" t="s">
        <v>1</v>
      </c>
      <c r="C2" s="1" t="s">
        <v>2</v>
      </c>
      <c r="D2" s="1" t="s">
        <v>3</v>
      </c>
      <c r="E2" s="1" t="s">
        <v>4</v>
      </c>
      <c r="F2" s="1" t="s">
        <v>5</v>
      </c>
      <c r="H2" s="1" t="s">
        <v>9</v>
      </c>
    </row>
    <row r="3" spans="1:9" x14ac:dyDescent="0.45">
      <c r="A3" s="1"/>
      <c r="B3" s="8">
        <f>DATE(2024,9,23) + ((C1-1)*7)</f>
        <v>45663</v>
      </c>
      <c r="C3" s="8">
        <f>B3+1</f>
        <v>45664</v>
      </c>
      <c r="D3" s="8">
        <f>C3+1</f>
        <v>45665</v>
      </c>
      <c r="E3" s="8">
        <f>D3+1</f>
        <v>45666</v>
      </c>
      <c r="F3" s="8">
        <f>E3+1</f>
        <v>45667</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ht="156.75" x14ac:dyDescent="0.45">
      <c r="A17" s="3">
        <v>0.60416666666666696</v>
      </c>
      <c r="B17" s="50" t="s">
        <v>274</v>
      </c>
      <c r="C17" s="19" t="s">
        <v>332</v>
      </c>
      <c r="D17" s="62" t="s">
        <v>322</v>
      </c>
      <c r="E17" s="34"/>
      <c r="F17" s="67" t="s">
        <v>333</v>
      </c>
    </row>
    <row r="18" spans="1:6" x14ac:dyDescent="0.45">
      <c r="A18" s="3">
        <v>0.625</v>
      </c>
      <c r="B18" s="66" t="s">
        <v>275</v>
      </c>
      <c r="C18" s="38"/>
      <c r="D18" s="40"/>
      <c r="E18" s="36"/>
      <c r="F18" s="38"/>
    </row>
    <row r="19" spans="1:6" x14ac:dyDescent="0.45">
      <c r="A19" s="3">
        <v>0.64583333333333304</v>
      </c>
      <c r="B19" s="66" t="s">
        <v>276</v>
      </c>
      <c r="C19" s="38"/>
      <c r="D19" s="40"/>
      <c r="E19" s="36"/>
      <c r="F19" s="38"/>
    </row>
    <row r="20" spans="1:6" x14ac:dyDescent="0.45">
      <c r="A20" s="3">
        <v>0.66666666666666696</v>
      </c>
      <c r="B20" s="66"/>
      <c r="C20" s="38"/>
      <c r="D20" s="40"/>
      <c r="E20" s="36"/>
      <c r="F20" s="38"/>
    </row>
    <row r="21" spans="1:6" x14ac:dyDescent="0.45">
      <c r="A21" s="3">
        <v>0.6875</v>
      </c>
      <c r="B21" s="66"/>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22" t="s">
        <v>248</v>
      </c>
      <c r="C29" s="16" t="s">
        <v>285</v>
      </c>
      <c r="D29" s="16" t="s">
        <v>285</v>
      </c>
      <c r="E29" s="16" t="s">
        <v>273</v>
      </c>
      <c r="F29" s="16" t="s">
        <v>285</v>
      </c>
    </row>
    <row r="30" spans="1:6" ht="39.950000000000003" customHeight="1" x14ac:dyDescent="0.45">
      <c r="A30" s="11"/>
      <c r="B30" s="16" t="s">
        <v>274</v>
      </c>
      <c r="C30" s="16" t="s">
        <v>304</v>
      </c>
      <c r="D30" s="16" t="s">
        <v>304</v>
      </c>
      <c r="E30" s="16" t="s">
        <v>285</v>
      </c>
      <c r="F30" s="16" t="s">
        <v>286</v>
      </c>
    </row>
    <row r="31" spans="1:6" ht="39.950000000000003" customHeight="1" x14ac:dyDescent="0.45">
      <c r="A31" s="11"/>
      <c r="B31" s="16" t="s">
        <v>304</v>
      </c>
      <c r="C31" s="19" t="s">
        <v>332</v>
      </c>
      <c r="D31" s="19"/>
      <c r="E31" s="16" t="s">
        <v>304</v>
      </c>
      <c r="F31" s="16" t="s">
        <v>304</v>
      </c>
    </row>
    <row r="32" spans="1:6" ht="39.950000000000003" customHeight="1" x14ac:dyDescent="0.45">
      <c r="A32" s="11"/>
      <c r="B32" s="23" t="s">
        <v>350</v>
      </c>
      <c r="C32" s="19" t="s">
        <v>343</v>
      </c>
      <c r="D32" s="19"/>
      <c r="E32" s="19" t="s">
        <v>352</v>
      </c>
      <c r="F32" s="19" t="s">
        <v>321</v>
      </c>
    </row>
    <row r="33" spans="1:6" ht="39.950000000000003" customHeight="1" x14ac:dyDescent="0.45">
      <c r="A33" s="11"/>
      <c r="B33" s="19" t="s">
        <v>351</v>
      </c>
      <c r="C33" s="19"/>
      <c r="D33" s="16"/>
      <c r="E33" s="19"/>
      <c r="F33" s="19" t="s">
        <v>333</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17</v>
      </c>
      <c r="D1" s="18">
        <f>C1/Data!B2</f>
        <v>0.42499999999999999</v>
      </c>
    </row>
    <row r="2" spans="1:9" x14ac:dyDescent="0.45">
      <c r="A2" s="1"/>
      <c r="B2" s="1" t="s">
        <v>1</v>
      </c>
      <c r="C2" s="1" t="s">
        <v>2</v>
      </c>
      <c r="D2" s="1" t="s">
        <v>3</v>
      </c>
      <c r="E2" s="1" t="s">
        <v>4</v>
      </c>
      <c r="F2" s="1" t="s">
        <v>5</v>
      </c>
      <c r="H2" s="1" t="s">
        <v>9</v>
      </c>
    </row>
    <row r="3" spans="1:9" x14ac:dyDescent="0.45">
      <c r="A3" s="1"/>
      <c r="B3" s="8">
        <f>DATE(2024,9,23) + ((C1-1)*7)</f>
        <v>45670</v>
      </c>
      <c r="C3" s="8">
        <f>B3+1</f>
        <v>45671</v>
      </c>
      <c r="D3" s="8">
        <f>C3+1</f>
        <v>45672</v>
      </c>
      <c r="E3" s="8">
        <f>D3+1</f>
        <v>45673</v>
      </c>
      <c r="F3" s="8">
        <f>E3+1</f>
        <v>45674</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ht="57" x14ac:dyDescent="0.45">
      <c r="A14" s="3">
        <v>0.54166666666666696</v>
      </c>
      <c r="C14" s="16" t="s">
        <v>334</v>
      </c>
      <c r="F14" s="16" t="s">
        <v>335</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16" t="s">
        <v>252</v>
      </c>
      <c r="C29" s="16" t="s">
        <v>252</v>
      </c>
      <c r="D29" s="16" t="s">
        <v>252</v>
      </c>
      <c r="E29" s="16" t="s">
        <v>252</v>
      </c>
      <c r="F29" s="16" t="s">
        <v>252</v>
      </c>
    </row>
    <row r="30" spans="1:6" ht="39.950000000000003" customHeight="1" x14ac:dyDescent="0.45">
      <c r="A30" s="11"/>
      <c r="B30" s="16" t="s">
        <v>277</v>
      </c>
      <c r="C30" s="16" t="s">
        <v>285</v>
      </c>
      <c r="D30" s="16" t="s">
        <v>285</v>
      </c>
      <c r="E30" s="16" t="s">
        <v>285</v>
      </c>
      <c r="F30" s="16" t="s">
        <v>285</v>
      </c>
    </row>
    <row r="31" spans="1:6" ht="39.950000000000003" customHeight="1" x14ac:dyDescent="0.45">
      <c r="A31" s="11"/>
      <c r="B31" s="16" t="s">
        <v>285</v>
      </c>
      <c r="C31" s="16" t="s">
        <v>308</v>
      </c>
      <c r="D31" s="16" t="s">
        <v>309</v>
      </c>
      <c r="E31" s="16" t="s">
        <v>304</v>
      </c>
      <c r="F31" s="16" t="s">
        <v>284</v>
      </c>
    </row>
    <row r="32" spans="1:6" ht="39.950000000000003" customHeight="1" x14ac:dyDescent="0.45">
      <c r="A32" s="11"/>
      <c r="B32" s="16" t="s">
        <v>307</v>
      </c>
      <c r="C32" s="16" t="s">
        <v>304</v>
      </c>
      <c r="D32" s="16" t="s">
        <v>304</v>
      </c>
      <c r="E32" s="16"/>
      <c r="F32" s="16" t="s">
        <v>304</v>
      </c>
    </row>
    <row r="33" spans="1:6" ht="39.950000000000003" customHeight="1" x14ac:dyDescent="0.45">
      <c r="A33" s="11"/>
      <c r="B33" s="16" t="s">
        <v>304</v>
      </c>
      <c r="C33" s="16" t="s">
        <v>334</v>
      </c>
      <c r="D33" s="16"/>
      <c r="E33" s="16"/>
      <c r="F33" s="16" t="s">
        <v>335</v>
      </c>
    </row>
    <row r="34" spans="1:6" ht="39.950000000000003" customHeight="1" x14ac:dyDescent="0.45">
      <c r="A34" s="11"/>
      <c r="B34" s="16"/>
      <c r="C34" s="16"/>
      <c r="D34" s="16"/>
      <c r="E34" s="16"/>
      <c r="F34" s="16"/>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18</v>
      </c>
      <c r="D1" s="18">
        <f>C1/Data!B2</f>
        <v>0.45</v>
      </c>
    </row>
    <row r="2" spans="1:9" x14ac:dyDescent="0.45">
      <c r="A2" s="1"/>
      <c r="B2" s="1" t="s">
        <v>1</v>
      </c>
      <c r="C2" s="1" t="s">
        <v>2</v>
      </c>
      <c r="D2" s="1" t="s">
        <v>3</v>
      </c>
      <c r="E2" s="1" t="s">
        <v>4</v>
      </c>
      <c r="F2" s="1" t="s">
        <v>5</v>
      </c>
      <c r="H2" s="1" t="s">
        <v>9</v>
      </c>
    </row>
    <row r="3" spans="1:9" x14ac:dyDescent="0.45">
      <c r="A3" s="1"/>
      <c r="B3" s="8">
        <f>DATE(2024,9,23) + ((C1-1)*7)</f>
        <v>45677</v>
      </c>
      <c r="C3" s="8">
        <f>B3+1</f>
        <v>45678</v>
      </c>
      <c r="D3" s="8">
        <f>C3+1</f>
        <v>45679</v>
      </c>
      <c r="E3" s="8">
        <f>D3+1</f>
        <v>45680</v>
      </c>
      <c r="F3" s="8">
        <f>E3+1</f>
        <v>45681</v>
      </c>
      <c r="H3" s="5" t="s">
        <v>8</v>
      </c>
    </row>
    <row r="4" spans="1:9" x14ac:dyDescent="0.45">
      <c r="A4" s="3">
        <v>0.35416666666666669</v>
      </c>
      <c r="C4" s="33"/>
      <c r="F4" s="37"/>
      <c r="H4" s="7" t="s">
        <v>10</v>
      </c>
    </row>
    <row r="5" spans="1:9" x14ac:dyDescent="0.45">
      <c r="A5" s="3">
        <v>0.375</v>
      </c>
      <c r="D5" s="58" t="s">
        <v>279</v>
      </c>
      <c r="E5" s="58" t="s">
        <v>279</v>
      </c>
      <c r="F5" s="38"/>
      <c r="H5" s="11" t="s">
        <v>22</v>
      </c>
    </row>
    <row r="6" spans="1:9" x14ac:dyDescent="0.45">
      <c r="A6" s="3">
        <v>0.39583333333333298</v>
      </c>
      <c r="D6" s="52" t="s">
        <v>13</v>
      </c>
      <c r="E6" s="52" t="s">
        <v>13</v>
      </c>
      <c r="F6" s="38"/>
    </row>
    <row r="7" spans="1:9" x14ac:dyDescent="0.45">
      <c r="A7" s="3">
        <v>0.41666666666666702</v>
      </c>
      <c r="D7" s="52" t="s">
        <v>280</v>
      </c>
      <c r="E7" s="52" t="s">
        <v>280</v>
      </c>
      <c r="F7" s="38"/>
      <c r="H7" s="1" t="s">
        <v>17</v>
      </c>
      <c r="I7" s="1"/>
    </row>
    <row r="8" spans="1:9" x14ac:dyDescent="0.45">
      <c r="A8" s="3">
        <v>0.4375</v>
      </c>
      <c r="D8" s="52"/>
      <c r="E8" s="51"/>
      <c r="F8" s="38"/>
      <c r="H8" s="1" t="s">
        <v>18</v>
      </c>
      <c r="I8" s="14" t="b">
        <v>0</v>
      </c>
    </row>
    <row r="9" spans="1:9" x14ac:dyDescent="0.45">
      <c r="A9" s="10">
        <v>0.44791666666666669</v>
      </c>
      <c r="D9" s="54"/>
      <c r="E9" s="55"/>
      <c r="F9" s="38"/>
    </row>
    <row r="10" spans="1:9" x14ac:dyDescent="0.45">
      <c r="A10" s="3">
        <v>0.45833333333333398</v>
      </c>
      <c r="D10" s="52"/>
      <c r="E10" s="56"/>
      <c r="F10" s="38"/>
    </row>
    <row r="11" spans="1:9" x14ac:dyDescent="0.45">
      <c r="A11" s="3">
        <v>0.47916666666666702</v>
      </c>
      <c r="D11" s="52"/>
      <c r="E11" s="56"/>
      <c r="F11" s="38"/>
    </row>
    <row r="12" spans="1:9" x14ac:dyDescent="0.45">
      <c r="A12" s="3">
        <v>0.5</v>
      </c>
      <c r="D12" s="52"/>
      <c r="E12" s="56"/>
      <c r="F12" s="38"/>
    </row>
    <row r="13" spans="1:9" x14ac:dyDescent="0.45">
      <c r="A13" s="3">
        <v>0.53125</v>
      </c>
      <c r="D13" s="52"/>
      <c r="E13" s="56"/>
      <c r="F13" s="38"/>
    </row>
    <row r="14" spans="1:9" x14ac:dyDescent="0.45">
      <c r="A14" s="3">
        <v>0.54166666666666696</v>
      </c>
      <c r="D14" s="51"/>
      <c r="E14" s="51"/>
    </row>
    <row r="15" spans="1:9" x14ac:dyDescent="0.45">
      <c r="A15" s="3">
        <v>0.5625</v>
      </c>
      <c r="D15" s="51"/>
      <c r="E15" s="51"/>
    </row>
    <row r="16" spans="1:9" x14ac:dyDescent="0.45">
      <c r="A16" s="3">
        <v>0.58333333333333304</v>
      </c>
      <c r="C16" s="37"/>
      <c r="D16" s="57"/>
      <c r="E16" s="58"/>
      <c r="F16" s="37"/>
    </row>
    <row r="17" spans="1:6" x14ac:dyDescent="0.45">
      <c r="A17" s="3">
        <v>0.60416666666666696</v>
      </c>
      <c r="C17" s="38"/>
      <c r="D17" s="59"/>
      <c r="E17" s="53"/>
      <c r="F17" s="38"/>
    </row>
    <row r="18" spans="1:6" x14ac:dyDescent="0.45">
      <c r="A18" s="3">
        <v>0.625</v>
      </c>
      <c r="C18" s="38"/>
      <c r="D18" s="59"/>
      <c r="E18" s="56"/>
      <c r="F18" s="38"/>
    </row>
    <row r="19" spans="1:6" x14ac:dyDescent="0.45">
      <c r="A19" s="3">
        <v>0.64583333333333304</v>
      </c>
      <c r="C19" s="38"/>
      <c r="D19" s="59"/>
      <c r="E19" s="56"/>
      <c r="F19" s="38"/>
    </row>
    <row r="20" spans="1:6" x14ac:dyDescent="0.45">
      <c r="A20" s="3">
        <v>0.66666666666666696</v>
      </c>
      <c r="C20" s="38"/>
      <c r="D20" s="59"/>
      <c r="E20" s="56"/>
      <c r="F20" s="38"/>
    </row>
    <row r="21" spans="1:6" x14ac:dyDescent="0.45">
      <c r="A21" s="3">
        <v>0.6875</v>
      </c>
      <c r="C21" s="38"/>
      <c r="D21" s="51"/>
      <c r="E21" s="51"/>
      <c r="F21" s="38"/>
    </row>
    <row r="22" spans="1:6" x14ac:dyDescent="0.45">
      <c r="A22" s="3">
        <v>0.70833333333333304</v>
      </c>
      <c r="C22" s="38"/>
      <c r="D22" s="51"/>
      <c r="E22" s="51"/>
      <c r="F22" s="38"/>
    </row>
    <row r="23" spans="1:6" x14ac:dyDescent="0.45">
      <c r="A23" s="3">
        <v>0.72916666666666696</v>
      </c>
      <c r="C23" s="38"/>
      <c r="D23" s="51"/>
      <c r="E23" s="51"/>
      <c r="F23" s="38"/>
    </row>
    <row r="24" spans="1:6" x14ac:dyDescent="0.45">
      <c r="A24" s="3">
        <v>0.75</v>
      </c>
      <c r="C24" s="38"/>
      <c r="D24" s="51"/>
      <c r="E24" s="51"/>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9" t="s">
        <v>252</v>
      </c>
      <c r="C29" s="19" t="s">
        <v>252</v>
      </c>
      <c r="D29" s="19" t="s">
        <v>252</v>
      </c>
      <c r="E29" s="19" t="s">
        <v>252</v>
      </c>
      <c r="F29" s="19" t="s">
        <v>252</v>
      </c>
    </row>
    <row r="30" spans="1:6" ht="39.950000000000003" customHeight="1" x14ac:dyDescent="0.45">
      <c r="A30" s="11"/>
      <c r="B30" s="19" t="s">
        <v>285</v>
      </c>
      <c r="C30" s="19" t="s">
        <v>285</v>
      </c>
      <c r="D30" s="19" t="s">
        <v>278</v>
      </c>
      <c r="E30" s="19" t="s">
        <v>278</v>
      </c>
      <c r="F30" s="19" t="s">
        <v>295</v>
      </c>
    </row>
    <row r="31" spans="1:6" ht="39.950000000000003" customHeight="1" x14ac:dyDescent="0.45">
      <c r="A31" s="11"/>
      <c r="B31" s="19" t="s">
        <v>286</v>
      </c>
      <c r="C31" s="19" t="s">
        <v>286</v>
      </c>
      <c r="D31" s="19" t="s">
        <v>286</v>
      </c>
      <c r="E31" s="19" t="s">
        <v>286</v>
      </c>
      <c r="F31" s="19" t="s">
        <v>286</v>
      </c>
    </row>
    <row r="32" spans="1:6" ht="39.950000000000003" customHeight="1" x14ac:dyDescent="0.45">
      <c r="A32" s="11"/>
      <c r="B32" s="19"/>
      <c r="C32" s="19"/>
      <c r="D32" s="19" t="s">
        <v>353</v>
      </c>
      <c r="E32" s="19" t="s">
        <v>313</v>
      </c>
      <c r="F32" s="16" t="s">
        <v>311</v>
      </c>
    </row>
    <row r="33" spans="1:6" ht="39.950000000000003" customHeight="1" x14ac:dyDescent="0.45">
      <c r="A33" s="11"/>
      <c r="B33" s="19"/>
      <c r="C33" s="19"/>
      <c r="D33" s="17"/>
      <c r="E33" s="19"/>
      <c r="F33" s="19"/>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19</v>
      </c>
      <c r="D1" s="18">
        <f>C1/Data!B2</f>
        <v>0.47499999999999998</v>
      </c>
    </row>
    <row r="2" spans="1:9" x14ac:dyDescent="0.45">
      <c r="A2" s="1"/>
      <c r="B2" s="1" t="s">
        <v>1</v>
      </c>
      <c r="C2" s="1" t="s">
        <v>2</v>
      </c>
      <c r="D2" s="1" t="s">
        <v>3</v>
      </c>
      <c r="E2" s="1" t="s">
        <v>4</v>
      </c>
      <c r="F2" s="1" t="s">
        <v>5</v>
      </c>
      <c r="H2" s="1" t="s">
        <v>9</v>
      </c>
    </row>
    <row r="3" spans="1:9" x14ac:dyDescent="0.45">
      <c r="A3" s="1"/>
      <c r="B3" s="8">
        <f>DATE(2024,9,23) + ((C1-1)*7)</f>
        <v>45684</v>
      </c>
      <c r="C3" s="8">
        <f>B3+1</f>
        <v>45685</v>
      </c>
      <c r="D3" s="8">
        <f>C3+1</f>
        <v>45686</v>
      </c>
      <c r="E3" s="8">
        <f>D3+1</f>
        <v>45687</v>
      </c>
      <c r="F3" s="8">
        <f>E3+1</f>
        <v>45688</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C8" s="38"/>
      <c r="D8" s="38"/>
      <c r="F8" s="38"/>
      <c r="H8" s="1" t="s">
        <v>18</v>
      </c>
      <c r="I8" s="14" t="b">
        <v>0</v>
      </c>
    </row>
    <row r="9" spans="1:9" x14ac:dyDescent="0.45">
      <c r="A9" s="10">
        <v>0.44791666666666669</v>
      </c>
      <c r="C9" s="38"/>
      <c r="D9" s="37"/>
      <c r="E9" s="35"/>
      <c r="F9" s="38"/>
    </row>
    <row r="10" spans="1:9" x14ac:dyDescent="0.45">
      <c r="A10" s="3">
        <v>0.45833333333333398</v>
      </c>
      <c r="C10" s="38"/>
      <c r="D10" s="38"/>
      <c r="E10" s="36"/>
      <c r="F10" s="38"/>
    </row>
    <row r="11" spans="1:9" x14ac:dyDescent="0.45">
      <c r="A11" s="3">
        <v>0.47916666666666702</v>
      </c>
      <c r="C11" s="38"/>
      <c r="D11" s="38"/>
      <c r="E11" s="36"/>
      <c r="F11" s="38"/>
    </row>
    <row r="12" spans="1:9" ht="57" x14ac:dyDescent="0.45">
      <c r="A12" s="3">
        <v>0.5</v>
      </c>
      <c r="C12" s="60" t="s">
        <v>323</v>
      </c>
      <c r="D12" s="38"/>
      <c r="E12" s="36"/>
      <c r="F12" s="38"/>
    </row>
    <row r="13" spans="1:9" ht="85.5" x14ac:dyDescent="0.45">
      <c r="A13" s="3">
        <v>0.53125</v>
      </c>
      <c r="C13" s="63" t="s">
        <v>337</v>
      </c>
      <c r="D13" s="38"/>
      <c r="E13" s="36"/>
      <c r="F13" s="38"/>
    </row>
    <row r="14" spans="1:9" x14ac:dyDescent="0.45">
      <c r="A14" s="3">
        <v>0.54166666666666696</v>
      </c>
      <c r="C14" s="51" t="s">
        <v>339</v>
      </c>
    </row>
    <row r="15" spans="1:9" x14ac:dyDescent="0.45">
      <c r="A15" s="3">
        <v>0.5625</v>
      </c>
      <c r="C15" s="51"/>
    </row>
    <row r="16" spans="1:9" x14ac:dyDescent="0.45">
      <c r="A16" s="3">
        <v>0.58333333333333304</v>
      </c>
      <c r="C16" s="54"/>
      <c r="D16" s="39"/>
      <c r="E16" s="33"/>
      <c r="F16" s="37"/>
    </row>
    <row r="17" spans="1:6" x14ac:dyDescent="0.45">
      <c r="A17" s="3">
        <v>0.60416666666666696</v>
      </c>
      <c r="C17" s="52"/>
      <c r="D17" s="40"/>
      <c r="E17" s="34"/>
      <c r="F17" s="38"/>
    </row>
    <row r="18" spans="1:6" x14ac:dyDescent="0.45">
      <c r="A18" s="3">
        <v>0.625</v>
      </c>
      <c r="C18" s="52"/>
      <c r="D18" s="40"/>
      <c r="E18" s="36"/>
      <c r="F18" s="38"/>
    </row>
    <row r="19" spans="1:6" x14ac:dyDescent="0.45">
      <c r="A19" s="3">
        <v>0.64583333333333304</v>
      </c>
      <c r="C19" s="52"/>
      <c r="D19" s="40"/>
      <c r="E19" s="36"/>
      <c r="F19" s="38"/>
    </row>
    <row r="20" spans="1:6" x14ac:dyDescent="0.45">
      <c r="A20" s="3">
        <v>0.66666666666666696</v>
      </c>
      <c r="C20" s="52"/>
      <c r="D20" s="40"/>
      <c r="E20" s="36"/>
      <c r="F20" s="38"/>
    </row>
    <row r="21" spans="1:6" x14ac:dyDescent="0.45">
      <c r="A21" s="3">
        <v>0.6875</v>
      </c>
      <c r="C21" s="52"/>
      <c r="F21" s="38"/>
    </row>
    <row r="22" spans="1:6" x14ac:dyDescent="0.45">
      <c r="A22" s="3">
        <v>0.70833333333333304</v>
      </c>
      <c r="C22" s="52"/>
      <c r="F22" s="38"/>
    </row>
    <row r="23" spans="1:6" x14ac:dyDescent="0.45">
      <c r="A23" s="3">
        <v>0.72916666666666696</v>
      </c>
      <c r="C23" s="52"/>
      <c r="F23" s="38"/>
    </row>
    <row r="24" spans="1:6" x14ac:dyDescent="0.45">
      <c r="A24" s="3">
        <v>0.75</v>
      </c>
      <c r="C24" s="52"/>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7" t="s">
        <v>252</v>
      </c>
      <c r="C29" s="17" t="s">
        <v>252</v>
      </c>
      <c r="D29" s="17" t="s">
        <v>314</v>
      </c>
      <c r="E29" s="17"/>
      <c r="F29" s="47" t="s">
        <v>355</v>
      </c>
    </row>
    <row r="30" spans="1:6" ht="39.950000000000003" customHeight="1" x14ac:dyDescent="0.45">
      <c r="A30" s="11"/>
      <c r="B30" s="17" t="s">
        <v>286</v>
      </c>
      <c r="C30" s="17" t="s">
        <v>281</v>
      </c>
      <c r="D30" s="17"/>
      <c r="E30" s="17"/>
      <c r="F30" s="17"/>
    </row>
    <row r="31" spans="1:6" ht="39.950000000000003" customHeight="1" x14ac:dyDescent="0.45">
      <c r="A31" s="11"/>
      <c r="B31" s="17"/>
      <c r="C31" s="17" t="s">
        <v>286</v>
      </c>
      <c r="D31" s="17"/>
      <c r="E31" s="17"/>
      <c r="F31" s="17"/>
    </row>
    <row r="32" spans="1:6" ht="39.950000000000003" customHeight="1" x14ac:dyDescent="0.45">
      <c r="A32" s="11"/>
      <c r="B32" s="17"/>
      <c r="C32" s="17" t="s">
        <v>324</v>
      </c>
      <c r="D32" s="17"/>
      <c r="E32" s="17"/>
      <c r="F32" s="17"/>
    </row>
    <row r="33" spans="1:6" ht="39.950000000000003" customHeight="1" x14ac:dyDescent="0.45">
      <c r="A33" s="11"/>
      <c r="B33" s="17"/>
      <c r="C33" s="17" t="s">
        <v>325</v>
      </c>
      <c r="D33" s="17"/>
      <c r="E33" s="17"/>
      <c r="F33" s="17"/>
    </row>
    <row r="34" spans="1:6" ht="39.950000000000003" customHeight="1" x14ac:dyDescent="0.45">
      <c r="A34" s="11"/>
      <c r="B34" s="17"/>
      <c r="C34" s="17" t="s">
        <v>336</v>
      </c>
      <c r="D34" s="17"/>
      <c r="E34" s="17"/>
      <c r="F34" s="17"/>
    </row>
    <row r="35" spans="1:6" ht="39.950000000000003" customHeight="1" x14ac:dyDescent="0.45">
      <c r="A35" s="11"/>
      <c r="B35" s="17"/>
      <c r="C35" s="17" t="s">
        <v>338</v>
      </c>
      <c r="D35" s="17"/>
      <c r="E35" s="17"/>
      <c r="F35" s="17"/>
    </row>
    <row r="36" spans="1:6" ht="39.950000000000003" customHeight="1" x14ac:dyDescent="0.4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20</v>
      </c>
      <c r="D1" s="18">
        <f>C1/Data!B2</f>
        <v>0.5</v>
      </c>
    </row>
    <row r="2" spans="1:9" x14ac:dyDescent="0.45">
      <c r="A2" s="1"/>
      <c r="B2" s="1" t="s">
        <v>1</v>
      </c>
      <c r="C2" s="1" t="s">
        <v>2</v>
      </c>
      <c r="D2" s="1" t="s">
        <v>3</v>
      </c>
      <c r="E2" s="1" t="s">
        <v>4</v>
      </c>
      <c r="F2" s="1" t="s">
        <v>5</v>
      </c>
      <c r="H2" s="1" t="s">
        <v>9</v>
      </c>
    </row>
    <row r="3" spans="1:9" x14ac:dyDescent="0.45">
      <c r="A3" s="1"/>
      <c r="B3" s="8">
        <f>DATE(2024,9,23) + ((C1-1)*7)</f>
        <v>45691</v>
      </c>
      <c r="C3" s="8">
        <f>B3+1</f>
        <v>45692</v>
      </c>
      <c r="D3" s="8">
        <f>C3+1</f>
        <v>45693</v>
      </c>
      <c r="E3" s="8">
        <f>D3+1</f>
        <v>45694</v>
      </c>
      <c r="F3" s="8">
        <f>E3+1</f>
        <v>45695</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9" t="s">
        <v>51</v>
      </c>
      <c r="C28" s="19" t="s">
        <v>51</v>
      </c>
      <c r="D28" s="19" t="s">
        <v>51</v>
      </c>
      <c r="E28" s="19" t="s">
        <v>51</v>
      </c>
      <c r="F28" s="19" t="s">
        <v>51</v>
      </c>
    </row>
    <row r="29" spans="1:6" ht="39.950000000000003" customHeight="1" x14ac:dyDescent="0.45">
      <c r="A29" s="11"/>
      <c r="B29" s="19"/>
      <c r="C29" s="19" t="s">
        <v>315</v>
      </c>
      <c r="D29" s="19"/>
      <c r="E29" s="19" t="s">
        <v>52</v>
      </c>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21</v>
      </c>
      <c r="D1" s="18">
        <f>C1/Data!B2</f>
        <v>0.52500000000000002</v>
      </c>
    </row>
    <row r="2" spans="1:9" x14ac:dyDescent="0.45">
      <c r="A2" s="1"/>
      <c r="B2" s="1" t="s">
        <v>1</v>
      </c>
      <c r="C2" s="1" t="s">
        <v>2</v>
      </c>
      <c r="D2" s="1" t="s">
        <v>3</v>
      </c>
      <c r="E2" s="1" t="s">
        <v>4</v>
      </c>
      <c r="F2" s="1" t="s">
        <v>5</v>
      </c>
      <c r="H2" s="1" t="s">
        <v>9</v>
      </c>
    </row>
    <row r="3" spans="1:9" x14ac:dyDescent="0.45">
      <c r="A3" s="1"/>
      <c r="B3" s="8">
        <f>DATE(2024,9,23) + ((C1-1)*7)</f>
        <v>45698</v>
      </c>
      <c r="C3" s="8">
        <f>B3+1</f>
        <v>45699</v>
      </c>
      <c r="D3" s="8">
        <f>C3+1</f>
        <v>45700</v>
      </c>
      <c r="E3" s="8">
        <f>D3+1</f>
        <v>45701</v>
      </c>
      <c r="F3" s="8">
        <f>E3+1</f>
        <v>45702</v>
      </c>
      <c r="H3" s="5" t="s">
        <v>8</v>
      </c>
    </row>
    <row r="4" spans="1:9" x14ac:dyDescent="0.45">
      <c r="A4" s="3">
        <v>0.35416666666666669</v>
      </c>
      <c r="C4" s="29" t="s">
        <v>365</v>
      </c>
      <c r="H4" s="7" t="s">
        <v>362</v>
      </c>
    </row>
    <row r="5" spans="1:9" x14ac:dyDescent="0.45">
      <c r="A5" s="3">
        <v>0.375</v>
      </c>
      <c r="C5" s="28" t="s">
        <v>366</v>
      </c>
      <c r="E5" s="29" t="s">
        <v>108</v>
      </c>
      <c r="F5" s="6" t="s">
        <v>12</v>
      </c>
      <c r="H5" s="11" t="s">
        <v>22</v>
      </c>
    </row>
    <row r="6" spans="1:9" x14ac:dyDescent="0.45">
      <c r="A6" s="3">
        <v>0.39583333333333298</v>
      </c>
      <c r="B6" s="9" t="s">
        <v>11</v>
      </c>
      <c r="C6" s="28"/>
      <c r="E6" s="32" t="s">
        <v>374</v>
      </c>
      <c r="F6" s="5" t="s">
        <v>13</v>
      </c>
    </row>
    <row r="7" spans="1:9" x14ac:dyDescent="0.45">
      <c r="A7" s="3">
        <v>0.41666666666666702</v>
      </c>
      <c r="B7" s="7" t="s">
        <v>363</v>
      </c>
      <c r="C7" s="28"/>
      <c r="E7" s="32"/>
      <c r="F7" s="5"/>
      <c r="H7" s="1" t="s">
        <v>17</v>
      </c>
      <c r="I7" s="1"/>
    </row>
    <row r="8" spans="1:9" x14ac:dyDescent="0.45">
      <c r="A8" s="3">
        <v>0.4375</v>
      </c>
      <c r="B8" s="7" t="s">
        <v>369</v>
      </c>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c r="D14" s="35"/>
    </row>
    <row r="15" spans="1:9" x14ac:dyDescent="0.45">
      <c r="A15" s="3">
        <v>0.5625</v>
      </c>
      <c r="B15" s="7"/>
      <c r="D15" s="36"/>
    </row>
    <row r="16" spans="1:9" x14ac:dyDescent="0.45">
      <c r="A16" s="3">
        <v>0.58333333333333304</v>
      </c>
      <c r="C16" s="6" t="s">
        <v>12</v>
      </c>
      <c r="D16" s="6" t="s">
        <v>26</v>
      </c>
      <c r="E16" s="29" t="s">
        <v>108</v>
      </c>
      <c r="F16" s="6" t="s">
        <v>12</v>
      </c>
    </row>
    <row r="17" spans="1:6" x14ac:dyDescent="0.45">
      <c r="A17" s="3">
        <v>0.60416666666666696</v>
      </c>
      <c r="C17" s="5" t="s">
        <v>356</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35</v>
      </c>
      <c r="C28" s="22" t="s">
        <v>367</v>
      </c>
      <c r="D28" s="22" t="s">
        <v>376</v>
      </c>
      <c r="E28" s="23" t="s">
        <v>375</v>
      </c>
      <c r="F28" s="23" t="s">
        <v>377</v>
      </c>
    </row>
    <row r="29" spans="1:6" ht="39.950000000000003" customHeight="1" x14ac:dyDescent="0.45">
      <c r="A29" s="11"/>
      <c r="B29" s="23" t="s">
        <v>368</v>
      </c>
      <c r="C29" s="17"/>
      <c r="D29" s="17"/>
      <c r="E29" s="23" t="s">
        <v>382</v>
      </c>
      <c r="F29" s="22" t="s">
        <v>347</v>
      </c>
    </row>
    <row r="30" spans="1:6" ht="39.950000000000003" customHeight="1" x14ac:dyDescent="0.45">
      <c r="A30" s="11"/>
      <c r="B30" s="17"/>
      <c r="C30" s="17"/>
      <c r="D30" s="17"/>
      <c r="E30" s="23" t="s">
        <v>381</v>
      </c>
      <c r="F30" s="17"/>
    </row>
    <row r="31" spans="1:6" ht="39.950000000000003" customHeight="1" x14ac:dyDescent="0.45">
      <c r="A31" s="11"/>
      <c r="B31" s="17"/>
      <c r="C31" s="17"/>
      <c r="D31" s="17"/>
      <c r="E31" s="23" t="s">
        <v>384</v>
      </c>
      <c r="F31" s="17"/>
    </row>
    <row r="32" spans="1:6" ht="39.950000000000003" customHeight="1" x14ac:dyDescent="0.45">
      <c r="A32" s="11"/>
      <c r="B32" s="17"/>
      <c r="C32" s="17"/>
      <c r="D32" s="17"/>
      <c r="E32" s="23" t="s">
        <v>380</v>
      </c>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22</v>
      </c>
      <c r="D1" s="18">
        <f>C1/Data!B2</f>
        <v>0.55000000000000004</v>
      </c>
    </row>
    <row r="2" spans="1:9" x14ac:dyDescent="0.45">
      <c r="A2" s="1"/>
      <c r="B2" s="1" t="s">
        <v>1</v>
      </c>
      <c r="C2" s="1" t="s">
        <v>2</v>
      </c>
      <c r="D2" s="1" t="s">
        <v>3</v>
      </c>
      <c r="E2" s="1" t="s">
        <v>4</v>
      </c>
      <c r="F2" s="1" t="s">
        <v>5</v>
      </c>
      <c r="H2" s="1" t="s">
        <v>9</v>
      </c>
    </row>
    <row r="3" spans="1:9" x14ac:dyDescent="0.45">
      <c r="A3" s="1"/>
      <c r="B3" s="8">
        <f>DATE(2024,9,23) + ((C1-1)*7)</f>
        <v>45705</v>
      </c>
      <c r="C3" s="8">
        <f>B3+1</f>
        <v>45706</v>
      </c>
      <c r="D3" s="8">
        <f>C3+1</f>
        <v>45707</v>
      </c>
      <c r="E3" s="8">
        <f>D3+1</f>
        <v>45708</v>
      </c>
      <c r="F3" s="8">
        <f>E3+1</f>
        <v>45709</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357</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61</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319</v>
      </c>
      <c r="C28" s="22" t="s">
        <v>383</v>
      </c>
      <c r="D28" s="19"/>
      <c r="E28" s="16"/>
      <c r="F28" s="22" t="s">
        <v>379</v>
      </c>
    </row>
    <row r="29" spans="1:6" ht="39.950000000000003" customHeight="1" x14ac:dyDescent="0.45">
      <c r="A29" s="11"/>
      <c r="B29" s="23" t="s">
        <v>378</v>
      </c>
      <c r="C29" s="23" t="s">
        <v>393</v>
      </c>
      <c r="D29" s="19"/>
      <c r="E29" s="19"/>
      <c r="F29" s="23" t="s">
        <v>391</v>
      </c>
    </row>
    <row r="30" spans="1:6" ht="39.950000000000003" customHeight="1" x14ac:dyDescent="0.45">
      <c r="A30" s="11"/>
      <c r="B30" s="19"/>
      <c r="C30" s="23" t="s">
        <v>390</v>
      </c>
      <c r="D30" s="19"/>
      <c r="E30" s="19"/>
      <c r="F30" s="23" t="s">
        <v>395</v>
      </c>
    </row>
    <row r="31" spans="1:6" ht="39.950000000000003" customHeight="1" x14ac:dyDescent="0.45">
      <c r="A31" s="11"/>
      <c r="B31" s="19"/>
      <c r="C31" s="22" t="s">
        <v>392</v>
      </c>
      <c r="D31" s="19"/>
      <c r="E31" s="19"/>
      <c r="F31" s="23" t="s">
        <v>400</v>
      </c>
    </row>
    <row r="32" spans="1:6" ht="39.950000000000003" customHeight="1" x14ac:dyDescent="0.45">
      <c r="A32" s="11"/>
      <c r="B32" s="19"/>
      <c r="C32" s="19"/>
      <c r="D32" s="19"/>
      <c r="E32" s="19"/>
      <c r="F32" s="23" t="s">
        <v>401</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23</v>
      </c>
      <c r="D1" s="18">
        <f>C1/Data!B2</f>
        <v>0.57499999999999996</v>
      </c>
    </row>
    <row r="2" spans="1:9" x14ac:dyDescent="0.45">
      <c r="A2" s="1"/>
      <c r="B2" s="1" t="s">
        <v>1</v>
      </c>
      <c r="C2" s="1" t="s">
        <v>2</v>
      </c>
      <c r="D2" s="1" t="s">
        <v>3</v>
      </c>
      <c r="E2" s="1" t="s">
        <v>4</v>
      </c>
      <c r="F2" s="1" t="s">
        <v>5</v>
      </c>
      <c r="H2" s="1" t="s">
        <v>9</v>
      </c>
    </row>
    <row r="3" spans="1:9" x14ac:dyDescent="0.45">
      <c r="A3" s="1"/>
      <c r="B3" s="8">
        <f>DATE(2024,9,23) + ((C1-1)*7)</f>
        <v>45712</v>
      </c>
      <c r="C3" s="8">
        <f>B3+1</f>
        <v>45713</v>
      </c>
      <c r="D3" s="8">
        <f>C3+1</f>
        <v>45714</v>
      </c>
      <c r="E3" s="8">
        <f>D3+1</f>
        <v>45715</v>
      </c>
      <c r="F3" s="8">
        <f>E3+1</f>
        <v>45716</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t="s">
        <v>370</v>
      </c>
      <c r="C7" s="28"/>
      <c r="E7" s="32" t="s">
        <v>23</v>
      </c>
      <c r="F7" s="5"/>
      <c r="H7" s="1" t="s">
        <v>17</v>
      </c>
      <c r="I7" s="1"/>
    </row>
    <row r="8" spans="1:9" x14ac:dyDescent="0.45">
      <c r="A8" s="3">
        <v>0.4375</v>
      </c>
      <c r="B8" s="7"/>
      <c r="C8" s="28"/>
      <c r="D8" s="33"/>
      <c r="E8" s="28"/>
      <c r="F8" s="5"/>
      <c r="H8" s="1" t="s">
        <v>18</v>
      </c>
      <c r="I8" s="14" t="b">
        <v>0</v>
      </c>
    </row>
    <row r="9" spans="1:9" x14ac:dyDescent="0.45">
      <c r="A9" s="10">
        <v>0.44791666666666669</v>
      </c>
      <c r="B9" s="7"/>
      <c r="C9" s="29" t="s">
        <v>364</v>
      </c>
      <c r="D9" s="34"/>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D13" s="35"/>
      <c r="E13" s="31"/>
      <c r="F13" s="5"/>
    </row>
    <row r="14" spans="1:9" x14ac:dyDescent="0.45">
      <c r="A14" s="3">
        <v>0.54166666666666696</v>
      </c>
      <c r="B14" s="7"/>
      <c r="D14" s="36"/>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371</v>
      </c>
      <c r="C28" s="22" t="s">
        <v>396</v>
      </c>
      <c r="D28" s="22" t="s">
        <v>36</v>
      </c>
      <c r="E28" s="22" t="s">
        <v>297</v>
      </c>
      <c r="F28" s="22" t="s">
        <v>397</v>
      </c>
    </row>
    <row r="29" spans="1:6" ht="39.950000000000003" customHeight="1" x14ac:dyDescent="0.45">
      <c r="A29" s="11"/>
      <c r="B29" s="22" t="s">
        <v>402</v>
      </c>
      <c r="C29" s="17"/>
      <c r="D29" s="22" t="s">
        <v>385</v>
      </c>
      <c r="E29" s="22" t="s">
        <v>354</v>
      </c>
      <c r="F29" s="22" t="s">
        <v>404</v>
      </c>
    </row>
    <row r="30" spans="1:6" ht="39.950000000000003" customHeight="1" x14ac:dyDescent="0.45">
      <c r="A30" s="11"/>
      <c r="B30" s="17"/>
      <c r="C30" s="17"/>
      <c r="D30" s="17"/>
      <c r="E30" s="47" t="s">
        <v>406</v>
      </c>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24</v>
      </c>
      <c r="D1" s="18">
        <f>C1/Data!B2</f>
        <v>0.6</v>
      </c>
    </row>
    <row r="2" spans="1:9" x14ac:dyDescent="0.45">
      <c r="A2" s="1"/>
      <c r="B2" s="1" t="s">
        <v>1</v>
      </c>
      <c r="C2" s="1" t="s">
        <v>2</v>
      </c>
      <c r="D2" s="1" t="s">
        <v>3</v>
      </c>
      <c r="E2" s="1" t="s">
        <v>4</v>
      </c>
      <c r="F2" s="1" t="s">
        <v>5</v>
      </c>
      <c r="H2" s="1" t="s">
        <v>9</v>
      </c>
    </row>
    <row r="3" spans="1:9" x14ac:dyDescent="0.45">
      <c r="A3" s="1"/>
      <c r="B3" s="8">
        <f>DATE(2024,9,23) + ((C1-1)*7)</f>
        <v>45719</v>
      </c>
      <c r="C3" s="8">
        <f>B3+1</f>
        <v>45720</v>
      </c>
      <c r="D3" s="8">
        <f>C3+1</f>
        <v>45721</v>
      </c>
      <c r="E3" s="8">
        <f>D3+1</f>
        <v>45722</v>
      </c>
      <c r="F3" s="8">
        <f>E3+1</f>
        <v>45723</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358</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c r="D14" s="35"/>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408</v>
      </c>
      <c r="C28" s="22" t="s">
        <v>398</v>
      </c>
      <c r="D28" s="17"/>
      <c r="E28" s="22" t="s">
        <v>416</v>
      </c>
      <c r="F28" s="22" t="s">
        <v>414</v>
      </c>
    </row>
    <row r="29" spans="1:6" ht="39.950000000000003" customHeight="1" x14ac:dyDescent="0.45">
      <c r="A29" s="11"/>
      <c r="B29" s="17"/>
      <c r="C29" s="22" t="s">
        <v>405</v>
      </c>
      <c r="D29" s="17"/>
      <c r="E29" s="17"/>
      <c r="F29" s="22" t="s">
        <v>415</v>
      </c>
    </row>
    <row r="30" spans="1:6" ht="39.950000000000003" customHeight="1" x14ac:dyDescent="0.45">
      <c r="A30" s="11"/>
      <c r="B30" s="17"/>
      <c r="C30" s="22" t="s">
        <v>407</v>
      </c>
      <c r="D30" s="17"/>
      <c r="E30" s="17"/>
      <c r="F30" s="22" t="s">
        <v>417</v>
      </c>
    </row>
    <row r="31" spans="1:6" ht="39.950000000000003" customHeight="1" x14ac:dyDescent="0.45">
      <c r="A31" s="11"/>
      <c r="B31" s="17"/>
      <c r="C31" s="22" t="s">
        <v>409</v>
      </c>
      <c r="D31" s="17"/>
      <c r="E31" s="17"/>
      <c r="F31" s="22" t="s">
        <v>419</v>
      </c>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abSelected="1" topLeftCell="A2" zoomScale="80" zoomScaleNormal="100" workbookViewId="0">
      <selection activeCell="F25" sqref="F25"/>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25</v>
      </c>
      <c r="D1" s="18">
        <f>C1/Data!B2</f>
        <v>0.625</v>
      </c>
    </row>
    <row r="2" spans="1:9" x14ac:dyDescent="0.45">
      <c r="A2" s="1"/>
      <c r="B2" s="1" t="s">
        <v>1</v>
      </c>
      <c r="C2" s="1" t="s">
        <v>2</v>
      </c>
      <c r="D2" s="1" t="s">
        <v>3</v>
      </c>
      <c r="E2" s="1" t="s">
        <v>4</v>
      </c>
      <c r="F2" s="1" t="s">
        <v>5</v>
      </c>
      <c r="H2" s="1" t="s">
        <v>9</v>
      </c>
    </row>
    <row r="3" spans="1:9" x14ac:dyDescent="0.45">
      <c r="A3" s="1"/>
      <c r="B3" s="8">
        <f>DATE(2024,9,23) + ((C1-1)*7)</f>
        <v>45726</v>
      </c>
      <c r="C3" s="8">
        <f>B3+1</f>
        <v>45727</v>
      </c>
      <c r="D3" s="8">
        <f>C3+1</f>
        <v>45728</v>
      </c>
      <c r="E3" s="8">
        <f>D3+1</f>
        <v>45729</v>
      </c>
      <c r="F3" s="8">
        <f>E3+1</f>
        <v>45730</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ht="28.5" x14ac:dyDescent="0.45">
      <c r="A7" s="3">
        <v>0.41666666666666702</v>
      </c>
      <c r="B7" s="69" t="s">
        <v>372</v>
      </c>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373</v>
      </c>
      <c r="C28" s="22" t="s">
        <v>399</v>
      </c>
      <c r="D28" s="17"/>
      <c r="E28" s="22" t="s">
        <v>426</v>
      </c>
      <c r="F28" s="22" t="s">
        <v>420</v>
      </c>
    </row>
    <row r="29" spans="1:6" ht="39.950000000000003" customHeight="1" x14ac:dyDescent="0.45">
      <c r="A29" s="11"/>
      <c r="B29" s="17"/>
      <c r="C29" s="17"/>
      <c r="D29" s="17"/>
      <c r="E29" s="17"/>
      <c r="F29" s="47" t="s">
        <v>428</v>
      </c>
    </row>
    <row r="30" spans="1:6" ht="39.950000000000003" customHeight="1" x14ac:dyDescent="0.45">
      <c r="A30" s="11"/>
      <c r="B30" s="17"/>
      <c r="C30" s="17"/>
      <c r="D30" s="17"/>
      <c r="E30" s="17"/>
      <c r="F30" s="22" t="s">
        <v>430</v>
      </c>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94" zoomScaleNormal="100" workbookViewId="0">
      <selection activeCell="C30" sqref="C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26</v>
      </c>
      <c r="D1" s="18">
        <f>C1/Data!B2</f>
        <v>0.65</v>
      </c>
    </row>
    <row r="2" spans="1:9" x14ac:dyDescent="0.45">
      <c r="A2" s="1"/>
      <c r="B2" s="1" t="s">
        <v>1</v>
      </c>
      <c r="C2" s="1" t="s">
        <v>2</v>
      </c>
      <c r="D2" s="1" t="s">
        <v>3</v>
      </c>
      <c r="E2" s="1" t="s">
        <v>4</v>
      </c>
      <c r="F2" s="1" t="s">
        <v>5</v>
      </c>
      <c r="H2" s="1" t="s">
        <v>9</v>
      </c>
    </row>
    <row r="3" spans="1:9" x14ac:dyDescent="0.45">
      <c r="A3" s="1"/>
      <c r="B3" s="8">
        <f>DATE(2024,9,23) + ((C1-1)*7)</f>
        <v>45733</v>
      </c>
      <c r="C3" s="8">
        <f>B3+1</f>
        <v>45734</v>
      </c>
      <c r="D3" s="8">
        <f>C3+1</f>
        <v>45735</v>
      </c>
      <c r="E3" s="8">
        <f>D3+1</f>
        <v>45736</v>
      </c>
      <c r="F3" s="8">
        <f>E3+1</f>
        <v>45737</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359</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t="s">
        <v>410</v>
      </c>
      <c r="C28" s="16" t="s">
        <v>421</v>
      </c>
      <c r="D28" s="16" t="s">
        <v>389</v>
      </c>
      <c r="E28" s="16" t="s">
        <v>427</v>
      </c>
      <c r="F28" s="16" t="s">
        <v>422</v>
      </c>
    </row>
    <row r="29" spans="1:6" ht="39.950000000000003" customHeight="1" x14ac:dyDescent="0.45">
      <c r="A29" s="11"/>
      <c r="B29" s="16" t="s">
        <v>411</v>
      </c>
      <c r="C29" s="16" t="s">
        <v>431</v>
      </c>
      <c r="D29" s="17"/>
      <c r="E29" s="17"/>
      <c r="F29" s="17"/>
    </row>
    <row r="30" spans="1:6" ht="39.950000000000003" customHeight="1" x14ac:dyDescent="0.45">
      <c r="A30" s="11"/>
      <c r="B30" s="17" t="s">
        <v>418</v>
      </c>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topLeftCell="A3" zoomScaleNormal="100" workbookViewId="0">
      <selection activeCell="E28" sqref="E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27</v>
      </c>
      <c r="D1" s="18">
        <f>C1/Data!B2</f>
        <v>0.67500000000000004</v>
      </c>
    </row>
    <row r="2" spans="1:9" x14ac:dyDescent="0.45">
      <c r="A2" s="1"/>
      <c r="B2" s="1" t="s">
        <v>1</v>
      </c>
      <c r="C2" s="1" t="s">
        <v>2</v>
      </c>
      <c r="D2" s="1" t="s">
        <v>3</v>
      </c>
      <c r="E2" s="1" t="s">
        <v>4</v>
      </c>
      <c r="F2" s="1" t="s">
        <v>5</v>
      </c>
      <c r="H2" s="1" t="s">
        <v>9</v>
      </c>
    </row>
    <row r="3" spans="1:9" x14ac:dyDescent="0.45">
      <c r="A3" s="1"/>
      <c r="B3" s="8">
        <f>DATE(2024,9,23) + ((C1-1)*7)</f>
        <v>45740</v>
      </c>
      <c r="C3" s="8">
        <f>B3+1</f>
        <v>45741</v>
      </c>
      <c r="D3" s="8">
        <f>C3+1</f>
        <v>45742</v>
      </c>
      <c r="E3" s="8">
        <f>D3+1</f>
        <v>45743</v>
      </c>
      <c r="F3" s="8">
        <f>E3+1</f>
        <v>45744</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c r="C28" s="16" t="s">
        <v>423</v>
      </c>
      <c r="D28" s="16" t="s">
        <v>389</v>
      </c>
      <c r="E28" s="16" t="s">
        <v>429</v>
      </c>
      <c r="F28" s="16" t="s">
        <v>397</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77" zoomScaleNormal="85"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28</v>
      </c>
      <c r="D1" s="18">
        <f>C1/Data!B2</f>
        <v>0.7</v>
      </c>
    </row>
    <row r="2" spans="1:9" x14ac:dyDescent="0.45">
      <c r="A2" s="1"/>
      <c r="B2" s="1" t="s">
        <v>1</v>
      </c>
      <c r="C2" s="1" t="s">
        <v>2</v>
      </c>
      <c r="D2" s="1" t="s">
        <v>3</v>
      </c>
      <c r="E2" s="1" t="s">
        <v>4</v>
      </c>
      <c r="F2" s="1" t="s">
        <v>5</v>
      </c>
      <c r="H2" s="1" t="s">
        <v>9</v>
      </c>
    </row>
    <row r="3" spans="1:9" x14ac:dyDescent="0.45">
      <c r="A3" s="1"/>
      <c r="B3" s="8">
        <f>DATE(2024,9,23) + ((C1-1)*7)</f>
        <v>45747</v>
      </c>
      <c r="C3" s="8">
        <f>B3+1</f>
        <v>45748</v>
      </c>
      <c r="D3" s="8">
        <f>C3+1</f>
        <v>45749</v>
      </c>
      <c r="E3" s="8">
        <f>D3+1</f>
        <v>45750</v>
      </c>
      <c r="F3" s="8">
        <f>E3+1</f>
        <v>45751</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E6" s="29" t="s">
        <v>108</v>
      </c>
      <c r="F6" s="5" t="s">
        <v>13</v>
      </c>
    </row>
    <row r="7" spans="1:9" x14ac:dyDescent="0.45">
      <c r="A7" s="3">
        <v>0.41666666666666702</v>
      </c>
      <c r="C7" s="28"/>
      <c r="E7" s="32" t="s">
        <v>23</v>
      </c>
      <c r="F7" s="5"/>
      <c r="H7" s="1" t="s">
        <v>17</v>
      </c>
      <c r="I7" s="1"/>
    </row>
    <row r="8" spans="1:9" x14ac:dyDescent="0.45">
      <c r="A8" s="3">
        <v>0.4375</v>
      </c>
      <c r="C8" s="28"/>
      <c r="E8" s="28"/>
      <c r="F8" s="5"/>
      <c r="H8" s="1" t="s">
        <v>18</v>
      </c>
      <c r="I8" s="14" t="b">
        <v>0</v>
      </c>
    </row>
    <row r="9" spans="1:9" x14ac:dyDescent="0.45">
      <c r="A9" s="10">
        <v>0.44791666666666669</v>
      </c>
      <c r="C9" s="29" t="s">
        <v>364</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ht="28.5" x14ac:dyDescent="0.45">
      <c r="A18" s="3">
        <v>0.625</v>
      </c>
      <c r="B18" s="21" t="s">
        <v>63</v>
      </c>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98</v>
      </c>
      <c r="C28" s="16" t="s">
        <v>397</v>
      </c>
      <c r="D28" s="16" t="s">
        <v>389</v>
      </c>
      <c r="E28" s="16" t="s">
        <v>261</v>
      </c>
      <c r="F28" s="16" t="s">
        <v>397</v>
      </c>
    </row>
    <row r="29" spans="1:6" ht="39.950000000000003" customHeight="1" x14ac:dyDescent="0.45">
      <c r="A29" s="11"/>
      <c r="B29" s="16" t="s">
        <v>412</v>
      </c>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29</v>
      </c>
      <c r="D1" s="18">
        <f>C1/Data!B2</f>
        <v>0.72499999999999998</v>
      </c>
    </row>
    <row r="2" spans="1:9" x14ac:dyDescent="0.45">
      <c r="A2" s="1"/>
      <c r="B2" s="1" t="s">
        <v>1</v>
      </c>
      <c r="C2" s="1" t="s">
        <v>2</v>
      </c>
      <c r="D2" s="1" t="s">
        <v>3</v>
      </c>
      <c r="E2" s="1" t="s">
        <v>4</v>
      </c>
      <c r="F2" s="1" t="s">
        <v>5</v>
      </c>
      <c r="H2" s="1" t="s">
        <v>9</v>
      </c>
    </row>
    <row r="3" spans="1:9" x14ac:dyDescent="0.45">
      <c r="A3" s="1"/>
      <c r="B3" s="8">
        <f>DATE(2024,9,23) + ((C1-1)*7)</f>
        <v>45754</v>
      </c>
      <c r="C3" s="8">
        <f>B3+1</f>
        <v>45755</v>
      </c>
      <c r="D3" s="8">
        <f>C3+1</f>
        <v>45756</v>
      </c>
      <c r="E3" s="8">
        <f>D3+1</f>
        <v>45757</v>
      </c>
      <c r="F3" s="8">
        <f>E3+1</f>
        <v>45758</v>
      </c>
      <c r="H3" s="5" t="s">
        <v>8</v>
      </c>
    </row>
    <row r="4" spans="1:9" x14ac:dyDescent="0.45">
      <c r="A4" s="3">
        <v>0.35416666666666669</v>
      </c>
      <c r="B4" s="11"/>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1</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F29" sqref="F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30</v>
      </c>
      <c r="D1" s="18">
        <f>C1/Data!B2</f>
        <v>0.75</v>
      </c>
    </row>
    <row r="2" spans="1:9" x14ac:dyDescent="0.45">
      <c r="A2" s="1"/>
      <c r="B2" s="1" t="s">
        <v>1</v>
      </c>
      <c r="C2" s="1" t="s">
        <v>2</v>
      </c>
      <c r="D2" s="1" t="s">
        <v>3</v>
      </c>
      <c r="E2" s="1" t="s">
        <v>4</v>
      </c>
      <c r="F2" s="1" t="s">
        <v>5</v>
      </c>
      <c r="H2" s="1" t="s">
        <v>9</v>
      </c>
    </row>
    <row r="3" spans="1:9" x14ac:dyDescent="0.45">
      <c r="A3" s="1"/>
      <c r="B3" s="8">
        <f>DATE(2024,9,23) + ((C1-1)*7)</f>
        <v>45761</v>
      </c>
      <c r="C3" s="8">
        <f>B3+1</f>
        <v>45762</v>
      </c>
      <c r="D3" s="8">
        <f>C3+1</f>
        <v>45763</v>
      </c>
      <c r="E3" s="8">
        <f>D3+1</f>
        <v>45764</v>
      </c>
      <c r="F3" s="8">
        <f>E3+1</f>
        <v>45765</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1</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c r="E29" s="17"/>
      <c r="F29" s="17" t="s">
        <v>403</v>
      </c>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79" priority="2">
      <formula>$I$8 = TRUE</formula>
    </cfRule>
  </conditionalFormatting>
  <conditionalFormatting sqref="B2:F3">
    <cfRule type="expression" dxfId="78" priority="25">
      <formula>B$3 &lt; TODAY()</formula>
    </cfRule>
  </conditionalFormatting>
  <conditionalFormatting sqref="B3:F3">
    <cfRule type="expression" dxfId="77" priority="24">
      <formula>B3 = TODAY()</formula>
    </cfRule>
  </conditionalFormatting>
  <conditionalFormatting sqref="B28:F36">
    <cfRule type="expression" dxfId="76" priority="1">
      <formula>NOT(ISBLANK(B28))</formula>
    </cfRule>
  </conditionalFormatting>
  <conditionalFormatting sqref="D4:D6 F5:F6 E6:E7 D7:F13 B14:F25">
    <cfRule type="expression" dxfId="75" priority="5">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B29" sqref="B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31</v>
      </c>
      <c r="D1" s="18">
        <f>C1/Data!B2</f>
        <v>0.77500000000000002</v>
      </c>
    </row>
    <row r="2" spans="1:9" x14ac:dyDescent="0.45">
      <c r="A2" s="1"/>
      <c r="B2" s="1" t="s">
        <v>1</v>
      </c>
      <c r="C2" s="1" t="s">
        <v>2</v>
      </c>
      <c r="D2" s="1" t="s">
        <v>3</v>
      </c>
      <c r="E2" s="1" t="s">
        <v>4</v>
      </c>
      <c r="F2" s="1" t="s">
        <v>5</v>
      </c>
      <c r="H2" s="1" t="s">
        <v>9</v>
      </c>
    </row>
    <row r="3" spans="1:9" x14ac:dyDescent="0.45">
      <c r="A3" s="1"/>
      <c r="B3" s="8">
        <f>DATE(2024,9,23) + ((C1-1)*7)</f>
        <v>45768</v>
      </c>
      <c r="C3" s="8">
        <f>B3+1</f>
        <v>45769</v>
      </c>
      <c r="D3" s="8">
        <f>C3+1</f>
        <v>45770</v>
      </c>
      <c r="E3" s="8">
        <f>D3+1</f>
        <v>45771</v>
      </c>
      <c r="F3" s="8">
        <f>E3+1</f>
        <v>45772</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E6" s="29" t="s">
        <v>108</v>
      </c>
      <c r="F6" s="5" t="s">
        <v>13</v>
      </c>
    </row>
    <row r="7" spans="1:9" x14ac:dyDescent="0.45">
      <c r="A7" s="3">
        <v>0.41666666666666702</v>
      </c>
      <c r="C7" s="28"/>
      <c r="E7" s="32" t="s">
        <v>23</v>
      </c>
      <c r="F7" s="5"/>
      <c r="H7" s="1" t="s">
        <v>17</v>
      </c>
      <c r="I7" s="1"/>
    </row>
    <row r="8" spans="1:9" x14ac:dyDescent="0.45">
      <c r="A8" s="3">
        <v>0.4375</v>
      </c>
      <c r="C8" s="28"/>
      <c r="E8" s="28"/>
      <c r="F8" s="5"/>
      <c r="H8" s="1" t="s">
        <v>18</v>
      </c>
      <c r="I8" s="14" t="b">
        <v>0</v>
      </c>
    </row>
    <row r="9" spans="1:9" x14ac:dyDescent="0.45">
      <c r="A9" s="10">
        <v>0.44791666666666669</v>
      </c>
      <c r="C9" s="29" t="s">
        <v>364</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38</v>
      </c>
      <c r="C28" s="16" t="s">
        <v>39</v>
      </c>
      <c r="D28" s="16" t="s">
        <v>39</v>
      </c>
      <c r="E28" s="16" t="s">
        <v>39</v>
      </c>
      <c r="F28" s="16" t="s">
        <v>39</v>
      </c>
    </row>
    <row r="29" spans="1:6" ht="39.950000000000003" customHeight="1" x14ac:dyDescent="0.45">
      <c r="A29" s="11"/>
      <c r="B29" s="17" t="s">
        <v>403</v>
      </c>
      <c r="C29" s="17" t="s">
        <v>394</v>
      </c>
      <c r="D29" s="16" t="s">
        <v>389</v>
      </c>
      <c r="E29" s="17" t="s">
        <v>394</v>
      </c>
      <c r="F29" s="17" t="s">
        <v>394</v>
      </c>
    </row>
    <row r="30" spans="1:6" ht="39.950000000000003" customHeight="1" x14ac:dyDescent="0.45">
      <c r="A30" s="11"/>
      <c r="B30" s="17"/>
      <c r="C30" s="17"/>
      <c r="D30" s="17" t="s">
        <v>394</v>
      </c>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74" priority="4">
      <formula>$I$8 = TRUE</formula>
    </cfRule>
  </conditionalFormatting>
  <conditionalFormatting sqref="B2:F3">
    <cfRule type="expression" dxfId="73" priority="29">
      <formula>B$3 &lt; TODAY()</formula>
    </cfRule>
  </conditionalFormatting>
  <conditionalFormatting sqref="B3:F3">
    <cfRule type="expression" dxfId="72" priority="28">
      <formula>B3 = TODAY()</formula>
    </cfRule>
  </conditionalFormatting>
  <conditionalFormatting sqref="B28:F36">
    <cfRule type="expression" dxfId="71" priority="1">
      <formula>NOT(ISBLANK(B28))</formula>
    </cfRule>
  </conditionalFormatting>
  <conditionalFormatting sqref="D4:D5 F5:F13 B14:E25">
    <cfRule type="expression" dxfId="70" priority="8">
      <formula>$I$8 = TRUE</formula>
    </cfRule>
  </conditionalFormatting>
  <conditionalFormatting sqref="D6:E13">
    <cfRule type="expression" dxfId="69" priority="6">
      <formula>$I$8 = TRUE</formula>
    </cfRule>
  </conditionalFormatting>
  <conditionalFormatting sqref="F15:F25">
    <cfRule type="expression" dxfId="68" priority="12">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 zoomScale="92" zoomScaleNormal="100"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32</v>
      </c>
      <c r="D1" s="18">
        <f>C1/Data!B2</f>
        <v>0.8</v>
      </c>
    </row>
    <row r="2" spans="1:9" x14ac:dyDescent="0.45">
      <c r="A2" s="1"/>
      <c r="B2" s="1" t="s">
        <v>1</v>
      </c>
      <c r="C2" s="1" t="s">
        <v>2</v>
      </c>
      <c r="D2" s="1" t="s">
        <v>3</v>
      </c>
      <c r="E2" s="1" t="s">
        <v>4</v>
      </c>
      <c r="F2" s="1" t="s">
        <v>5</v>
      </c>
      <c r="H2" s="1" t="s">
        <v>9</v>
      </c>
    </row>
    <row r="3" spans="1:9" x14ac:dyDescent="0.45">
      <c r="A3" s="1"/>
      <c r="B3" s="8">
        <f>DATE(2024,9,23) + ((C1-1)*7)</f>
        <v>45775</v>
      </c>
      <c r="C3" s="8">
        <f>B3+1</f>
        <v>45776</v>
      </c>
      <c r="D3" s="8">
        <f>C3+1</f>
        <v>45777</v>
      </c>
      <c r="E3" s="8">
        <f>D3+1</f>
        <v>45778</v>
      </c>
      <c r="F3" s="8">
        <f>E3+1</f>
        <v>45779</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F9" s="5"/>
    </row>
    <row r="10" spans="1:9" x14ac:dyDescent="0.45">
      <c r="A10" s="3">
        <v>0.45833333333333398</v>
      </c>
      <c r="C10" s="28" t="s">
        <v>13</v>
      </c>
      <c r="D10" s="5" t="s">
        <v>356</v>
      </c>
      <c r="F10" s="5"/>
    </row>
    <row r="11" spans="1:9" x14ac:dyDescent="0.45">
      <c r="A11" s="3">
        <v>0.47916666666666702</v>
      </c>
      <c r="C11" s="28"/>
      <c r="D11" s="5" t="s">
        <v>360</v>
      </c>
      <c r="F11" s="5"/>
    </row>
    <row r="12" spans="1:9" x14ac:dyDescent="0.45">
      <c r="A12" s="3">
        <v>0.5</v>
      </c>
      <c r="C12" s="28"/>
      <c r="D12" s="5"/>
      <c r="F12" s="5"/>
    </row>
    <row r="13" spans="1:9" x14ac:dyDescent="0.45">
      <c r="A13" s="3">
        <v>0.53125</v>
      </c>
      <c r="C13" s="28"/>
      <c r="D13" s="5"/>
      <c r="F13" s="5"/>
    </row>
    <row r="14" spans="1:9" x14ac:dyDescent="0.45">
      <c r="A14" s="3">
        <v>0.54166666666666696</v>
      </c>
    </row>
    <row r="15" spans="1:9" x14ac:dyDescent="0.45">
      <c r="A15" s="3">
        <v>0.5625</v>
      </c>
    </row>
    <row r="16" spans="1:9" x14ac:dyDescent="0.45">
      <c r="A16" s="3">
        <v>0.58333333333333304</v>
      </c>
      <c r="C16" s="6" t="s">
        <v>12</v>
      </c>
      <c r="D16" s="6" t="s">
        <v>26</v>
      </c>
      <c r="F16" s="6" t="s">
        <v>12</v>
      </c>
    </row>
    <row r="17" spans="1:6" x14ac:dyDescent="0.45">
      <c r="A17" s="3">
        <v>0.60416666666666696</v>
      </c>
      <c r="C17" s="5" t="s">
        <v>13</v>
      </c>
      <c r="D17" s="5" t="s">
        <v>27</v>
      </c>
      <c r="F17" s="5" t="s">
        <v>13</v>
      </c>
    </row>
    <row r="18" spans="1:6" x14ac:dyDescent="0.45">
      <c r="A18" s="3">
        <v>0.625</v>
      </c>
      <c r="C18" s="5"/>
      <c r="D18" s="5"/>
      <c r="F18" s="5"/>
    </row>
    <row r="19" spans="1:6" x14ac:dyDescent="0.45">
      <c r="A19" s="3">
        <v>0.64583333333333304</v>
      </c>
      <c r="C19" s="5"/>
      <c r="D19" s="5"/>
      <c r="F19" s="5"/>
    </row>
    <row r="20" spans="1:6" x14ac:dyDescent="0.45">
      <c r="A20" s="3">
        <v>0.66666666666666696</v>
      </c>
      <c r="C20" s="5"/>
      <c r="D20" s="5"/>
      <c r="F20" s="5"/>
    </row>
    <row r="21" spans="1:6" x14ac:dyDescent="0.45">
      <c r="A21" s="3">
        <v>0.67708333333333337</v>
      </c>
      <c r="C21" s="5"/>
      <c r="D21" s="6" t="s">
        <v>28</v>
      </c>
      <c r="F21" s="5"/>
    </row>
    <row r="22" spans="1:6" x14ac:dyDescent="0.45">
      <c r="A22" s="3">
        <v>0.70833333333333304</v>
      </c>
      <c r="C22" s="5"/>
      <c r="D22" s="5" t="s">
        <v>27</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t="s">
        <v>424</v>
      </c>
      <c r="D28" s="16" t="s">
        <v>389</v>
      </c>
      <c r="E28" s="16" t="s">
        <v>40</v>
      </c>
      <c r="F28" s="16" t="s">
        <v>424</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C29" sqref="C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33</v>
      </c>
      <c r="D1" s="18">
        <f>C1/Data!B2</f>
        <v>0.82499999999999996</v>
      </c>
    </row>
    <row r="2" spans="1:9" x14ac:dyDescent="0.45">
      <c r="A2" s="1"/>
      <c r="B2" s="1" t="s">
        <v>1</v>
      </c>
      <c r="C2" s="1" t="s">
        <v>2</v>
      </c>
      <c r="D2" s="1" t="s">
        <v>3</v>
      </c>
      <c r="E2" s="1" t="s">
        <v>4</v>
      </c>
      <c r="F2" s="1" t="s">
        <v>5</v>
      </c>
      <c r="H2" s="1" t="s">
        <v>9</v>
      </c>
    </row>
    <row r="3" spans="1:9" x14ac:dyDescent="0.45">
      <c r="A3" s="1"/>
      <c r="B3" s="8">
        <f>DATE(2024,9,23) + ((C1-1)*7)</f>
        <v>45782</v>
      </c>
      <c r="C3" s="8">
        <f>B3+1</f>
        <v>45783</v>
      </c>
      <c r="D3" s="8">
        <f>C3+1</f>
        <v>45784</v>
      </c>
      <c r="E3" s="8">
        <f>D3+1</f>
        <v>45785</v>
      </c>
      <c r="F3" s="8">
        <f>E3+1</f>
        <v>45786</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E16" s="29" t="s">
        <v>108</v>
      </c>
      <c r="F16" s="6" t="s">
        <v>12</v>
      </c>
    </row>
    <row r="17" spans="1:6" x14ac:dyDescent="0.45">
      <c r="A17" s="3">
        <v>0.60416666666666696</v>
      </c>
      <c r="B17" s="5" t="s">
        <v>7</v>
      </c>
      <c r="C17" s="5" t="s">
        <v>13</v>
      </c>
      <c r="E17" s="32" t="s">
        <v>23</v>
      </c>
      <c r="F17" s="5" t="s">
        <v>13</v>
      </c>
    </row>
    <row r="18" spans="1:6" x14ac:dyDescent="0.45">
      <c r="A18" s="3">
        <v>0.625</v>
      </c>
      <c r="B18" s="21" t="s">
        <v>64</v>
      </c>
      <c r="C18" s="5"/>
      <c r="E18" s="31"/>
      <c r="F18" s="5"/>
    </row>
    <row r="19" spans="1:6" x14ac:dyDescent="0.45">
      <c r="A19" s="3">
        <v>0.64583333333333304</v>
      </c>
      <c r="B19" s="5"/>
      <c r="C19" s="5"/>
      <c r="E19" s="31"/>
      <c r="F19" s="5"/>
    </row>
    <row r="20" spans="1:6" x14ac:dyDescent="0.45">
      <c r="A20" s="3">
        <v>0.66666666666666696</v>
      </c>
      <c r="B20" s="5"/>
      <c r="C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413</v>
      </c>
      <c r="C28" s="16" t="s">
        <v>425</v>
      </c>
      <c r="D28" s="16" t="s">
        <v>387</v>
      </c>
      <c r="E28" s="16"/>
      <c r="F28" s="16"/>
    </row>
    <row r="29" spans="1:6" ht="39.950000000000003" customHeight="1" x14ac:dyDescent="0.45">
      <c r="A29" s="11"/>
      <c r="B29" s="17"/>
      <c r="C29" s="17"/>
      <c r="D29" s="16" t="s">
        <v>388</v>
      </c>
      <c r="E29" s="17"/>
      <c r="F29" s="17"/>
    </row>
    <row r="30" spans="1:6" ht="39.950000000000003" customHeight="1" x14ac:dyDescent="0.45">
      <c r="A30" s="11"/>
      <c r="B30" s="17"/>
      <c r="C30" s="17"/>
      <c r="D30" s="16" t="s">
        <v>389</v>
      </c>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C27" sqref="C27"/>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34</v>
      </c>
      <c r="D1" s="18">
        <f>C1/Data!B2</f>
        <v>0.85</v>
      </c>
    </row>
    <row r="2" spans="1:9" x14ac:dyDescent="0.45">
      <c r="A2" s="1"/>
      <c r="B2" s="1" t="s">
        <v>1</v>
      </c>
      <c r="C2" s="1" t="s">
        <v>2</v>
      </c>
      <c r="D2" s="1" t="s">
        <v>3</v>
      </c>
      <c r="E2" s="1" t="s">
        <v>4</v>
      </c>
      <c r="F2" s="1" t="s">
        <v>5</v>
      </c>
      <c r="H2" s="1" t="s">
        <v>9</v>
      </c>
    </row>
    <row r="3" spans="1:9" x14ac:dyDescent="0.45">
      <c r="A3" s="1"/>
      <c r="B3" s="8">
        <f>DATE(2024,9,23) + ((C1-1)*7)</f>
        <v>45789</v>
      </c>
      <c r="C3" s="8">
        <f>B3+1</f>
        <v>45790</v>
      </c>
      <c r="D3" s="8">
        <f>C3+1</f>
        <v>45791</v>
      </c>
      <c r="E3" s="8">
        <f>D3+1</f>
        <v>45792</v>
      </c>
      <c r="F3" s="8">
        <f>E3+1</f>
        <v>45793</v>
      </c>
      <c r="H3" s="5" t="s">
        <v>8</v>
      </c>
    </row>
    <row r="4" spans="1:9" x14ac:dyDescent="0.45">
      <c r="A4" s="3">
        <v>0.35416666666666669</v>
      </c>
      <c r="C4" s="29" t="s">
        <v>365</v>
      </c>
      <c r="E4" s="33"/>
      <c r="H4" s="7" t="s">
        <v>362</v>
      </c>
    </row>
    <row r="5" spans="1:9" x14ac:dyDescent="0.45">
      <c r="A5" s="3">
        <v>0.375</v>
      </c>
      <c r="B5" s="9" t="s">
        <v>11</v>
      </c>
      <c r="C5" s="28" t="s">
        <v>366</v>
      </c>
      <c r="E5" s="34"/>
      <c r="F5" s="6" t="s">
        <v>12</v>
      </c>
      <c r="H5" s="11" t="s">
        <v>22</v>
      </c>
    </row>
    <row r="6" spans="1:9" x14ac:dyDescent="0.45">
      <c r="A6" s="3">
        <v>0.39583333333333298</v>
      </c>
      <c r="B6" s="7" t="s">
        <v>363</v>
      </c>
      <c r="C6" s="28"/>
      <c r="F6" s="5" t="s">
        <v>13</v>
      </c>
    </row>
    <row r="7" spans="1:9" x14ac:dyDescent="0.45">
      <c r="A7" s="3">
        <v>0.41666666666666702</v>
      </c>
      <c r="B7" s="9" t="s">
        <v>99</v>
      </c>
      <c r="C7" s="28"/>
      <c r="F7" s="5"/>
      <c r="H7" s="1" t="s">
        <v>17</v>
      </c>
      <c r="I7" s="1"/>
    </row>
    <row r="8" spans="1:9" x14ac:dyDescent="0.45">
      <c r="A8" s="3">
        <v>0.4375</v>
      </c>
      <c r="B8" s="7"/>
      <c r="C8" s="28"/>
      <c r="F8" s="5"/>
      <c r="H8" s="1" t="s">
        <v>18</v>
      </c>
      <c r="I8" s="14" t="b">
        <v>0</v>
      </c>
    </row>
    <row r="9" spans="1:9" x14ac:dyDescent="0.45">
      <c r="A9" s="10">
        <v>0.44791666666666669</v>
      </c>
      <c r="B9" s="7"/>
      <c r="C9" s="29" t="s">
        <v>364</v>
      </c>
      <c r="D9" s="6" t="s">
        <v>24</v>
      </c>
      <c r="E9" s="35"/>
      <c r="F9" s="5"/>
    </row>
    <row r="10" spans="1:9" x14ac:dyDescent="0.45">
      <c r="A10" s="3">
        <v>0.45833333333333398</v>
      </c>
      <c r="B10" s="7"/>
      <c r="C10" s="28" t="s">
        <v>13</v>
      </c>
      <c r="D10" s="5" t="s">
        <v>356</v>
      </c>
      <c r="E10" s="36"/>
      <c r="F10" s="5"/>
    </row>
    <row r="11" spans="1:9" ht="28.5" x14ac:dyDescent="0.45">
      <c r="A11" s="3">
        <v>0.47916666666666702</v>
      </c>
      <c r="B11" s="7"/>
      <c r="C11" s="28"/>
      <c r="D11" s="68" t="s">
        <v>361</v>
      </c>
      <c r="E11" s="36"/>
      <c r="F11" s="5"/>
    </row>
    <row r="12" spans="1:9" x14ac:dyDescent="0.45">
      <c r="A12" s="3">
        <v>0.5</v>
      </c>
      <c r="B12" s="7"/>
      <c r="C12" s="28"/>
      <c r="D12" s="5"/>
      <c r="E12" s="36"/>
      <c r="F12" s="5"/>
    </row>
    <row r="13" spans="1:9" x14ac:dyDescent="0.45">
      <c r="A13" s="3">
        <v>0.53125</v>
      </c>
      <c r="B13" s="7"/>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65</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386</v>
      </c>
      <c r="E28" s="16"/>
      <c r="F28" s="16"/>
    </row>
    <row r="29" spans="1:6" ht="39.950000000000003" customHeight="1" x14ac:dyDescent="0.45">
      <c r="A29" s="11"/>
      <c r="B29" s="17"/>
      <c r="C29" s="17"/>
      <c r="D29" s="16" t="s">
        <v>388</v>
      </c>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35</v>
      </c>
      <c r="D1" s="18">
        <f>C1/Data!B2</f>
        <v>0.875</v>
      </c>
    </row>
    <row r="2" spans="1:9" x14ac:dyDescent="0.45">
      <c r="A2" s="1"/>
      <c r="B2" s="1" t="s">
        <v>1</v>
      </c>
      <c r="C2" s="1" t="s">
        <v>2</v>
      </c>
      <c r="D2" s="1" t="s">
        <v>3</v>
      </c>
      <c r="E2" s="1" t="s">
        <v>4</v>
      </c>
      <c r="F2" s="1" t="s">
        <v>5</v>
      </c>
      <c r="H2" s="1" t="s">
        <v>9</v>
      </c>
    </row>
    <row r="3" spans="1:9" x14ac:dyDescent="0.45">
      <c r="A3" s="1"/>
      <c r="B3" s="8">
        <f>DATE(2024,9,23) + ((C1-1)*7)</f>
        <v>45796</v>
      </c>
      <c r="C3" s="8">
        <f>B3+1</f>
        <v>45797</v>
      </c>
      <c r="D3" s="8">
        <f>C3+1</f>
        <v>45798</v>
      </c>
      <c r="E3" s="8">
        <f>D3+1</f>
        <v>45799</v>
      </c>
      <c r="F3" s="8">
        <f>E3+1</f>
        <v>45800</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c r="F28" s="16"/>
    </row>
    <row r="29" spans="1:6" ht="39.950000000000003" customHeight="1" x14ac:dyDescent="0.45">
      <c r="A29" s="11"/>
      <c r="B29" s="19" t="s">
        <v>100</v>
      </c>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F29" sqref="B28:F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36</v>
      </c>
      <c r="D1" s="18">
        <f>C1/Data!B2</f>
        <v>0.9</v>
      </c>
    </row>
    <row r="2" spans="1:9" x14ac:dyDescent="0.45">
      <c r="A2" s="1"/>
      <c r="B2" s="1" t="s">
        <v>1</v>
      </c>
      <c r="C2" s="1" t="s">
        <v>2</v>
      </c>
      <c r="D2" s="1" t="s">
        <v>3</v>
      </c>
      <c r="E2" s="1" t="s">
        <v>4</v>
      </c>
      <c r="F2" s="1" t="s">
        <v>5</v>
      </c>
      <c r="H2" s="1" t="s">
        <v>9</v>
      </c>
    </row>
    <row r="3" spans="1:9" x14ac:dyDescent="0.45">
      <c r="A3" s="1"/>
      <c r="B3" s="8">
        <f>DATE(2024,9,23) + ((C1-1)*7)</f>
        <v>45803</v>
      </c>
      <c r="C3" s="8">
        <f>B3+1</f>
        <v>45804</v>
      </c>
      <c r="D3" s="8">
        <f>C3+1</f>
        <v>45805</v>
      </c>
      <c r="E3" s="8">
        <f>D3+1</f>
        <v>45806</v>
      </c>
      <c r="F3" s="8">
        <f>E3+1</f>
        <v>45807</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t="s">
        <v>42</v>
      </c>
      <c r="F28" s="16" t="s">
        <v>42</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37</v>
      </c>
      <c r="D1" s="18">
        <f>C1/Data!B2</f>
        <v>0.92500000000000004</v>
      </c>
    </row>
    <row r="2" spans="1:9" x14ac:dyDescent="0.45">
      <c r="A2" s="1"/>
      <c r="B2" s="1" t="s">
        <v>1</v>
      </c>
      <c r="C2" s="1" t="s">
        <v>2</v>
      </c>
      <c r="D2" s="1" t="s">
        <v>3</v>
      </c>
      <c r="E2" s="1" t="s">
        <v>4</v>
      </c>
      <c r="F2" s="1" t="s">
        <v>5</v>
      </c>
      <c r="H2" s="1" t="s">
        <v>9</v>
      </c>
    </row>
    <row r="3" spans="1:9" x14ac:dyDescent="0.45">
      <c r="A3" s="1"/>
      <c r="B3" s="8">
        <f>DATE(2024,9,23) + ((C1-1)*7)</f>
        <v>45810</v>
      </c>
      <c r="C3" s="8">
        <f>B3+1</f>
        <v>45811</v>
      </c>
      <c r="D3" s="8">
        <f>C3+1</f>
        <v>45812</v>
      </c>
      <c r="E3" s="8">
        <f>D3+1</f>
        <v>45813</v>
      </c>
      <c r="F3" s="8">
        <f>E3+1</f>
        <v>45814</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H29" sqref="H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38</v>
      </c>
      <c r="D1" s="18">
        <f>C1/Data!B2</f>
        <v>0.95</v>
      </c>
    </row>
    <row r="2" spans="1:9" x14ac:dyDescent="0.45">
      <c r="A2" s="1"/>
      <c r="B2" s="1" t="s">
        <v>1</v>
      </c>
      <c r="C2" s="1" t="s">
        <v>2</v>
      </c>
      <c r="D2" s="1" t="s">
        <v>3</v>
      </c>
      <c r="E2" s="1" t="s">
        <v>4</v>
      </c>
      <c r="F2" s="1" t="s">
        <v>5</v>
      </c>
      <c r="H2" s="1" t="s">
        <v>9</v>
      </c>
    </row>
    <row r="3" spans="1:9" x14ac:dyDescent="0.45">
      <c r="A3" s="1"/>
      <c r="B3" s="8">
        <f>DATE(2024,9,23) + ((C1-1)*7)</f>
        <v>45817</v>
      </c>
      <c r="C3" s="8">
        <f>B3+1</f>
        <v>45818</v>
      </c>
      <c r="D3" s="8">
        <f>C3+1</f>
        <v>45819</v>
      </c>
      <c r="E3" s="8">
        <f>D3+1</f>
        <v>45820</v>
      </c>
      <c r="F3" s="8">
        <f>E3+1</f>
        <v>45821</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44</v>
      </c>
      <c r="D28" s="16" t="s">
        <v>44</v>
      </c>
      <c r="E28" s="16" t="s">
        <v>44</v>
      </c>
      <c r="F28" s="16" t="s">
        <v>44</v>
      </c>
    </row>
    <row r="29" spans="1:6" ht="39.950000000000003" customHeight="1" x14ac:dyDescent="0.45">
      <c r="A29" s="11"/>
      <c r="B29" s="19" t="s">
        <v>43</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F3" sqref="F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39</v>
      </c>
      <c r="D1" s="18">
        <f>C1/Data!B2</f>
        <v>0.97499999999999998</v>
      </c>
    </row>
    <row r="2" spans="1:9" x14ac:dyDescent="0.45">
      <c r="A2" s="1"/>
      <c r="B2" s="1" t="s">
        <v>1</v>
      </c>
      <c r="C2" s="1" t="s">
        <v>2</v>
      </c>
      <c r="D2" s="1" t="s">
        <v>3</v>
      </c>
      <c r="E2" s="1" t="s">
        <v>4</v>
      </c>
      <c r="F2" s="1" t="s">
        <v>5</v>
      </c>
      <c r="H2" s="1" t="s">
        <v>9</v>
      </c>
    </row>
    <row r="3" spans="1:9" x14ac:dyDescent="0.45">
      <c r="A3" s="1"/>
      <c r="B3" s="8">
        <f>DATE(2024,9,23) + ((C1-1)*7)</f>
        <v>45824</v>
      </c>
      <c r="C3" s="8">
        <f>B3+1</f>
        <v>45825</v>
      </c>
      <c r="D3" s="8">
        <f>C3+1</f>
        <v>45826</v>
      </c>
      <c r="E3" s="8">
        <f>D3+1</f>
        <v>45827</v>
      </c>
      <c r="F3" s="8">
        <f>E3+1</f>
        <v>45828</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t="s">
        <v>45</v>
      </c>
      <c r="D28" s="19" t="s">
        <v>45</v>
      </c>
      <c r="E28" s="19" t="s">
        <v>45</v>
      </c>
      <c r="F28" s="19" t="s">
        <v>45</v>
      </c>
    </row>
    <row r="29" spans="1:6" ht="39.950000000000003" customHeight="1" x14ac:dyDescent="0.45">
      <c r="A29" s="11"/>
      <c r="B29" s="19" t="s">
        <v>45</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40</v>
      </c>
      <c r="D1" s="18">
        <f>C1/Data!B2</f>
        <v>1</v>
      </c>
    </row>
    <row r="2" spans="1:9" x14ac:dyDescent="0.45">
      <c r="A2" s="1"/>
      <c r="B2" s="1" t="s">
        <v>1</v>
      </c>
      <c r="C2" s="1" t="s">
        <v>2</v>
      </c>
      <c r="D2" s="1" t="s">
        <v>3</v>
      </c>
      <c r="E2" s="1" t="s">
        <v>4</v>
      </c>
      <c r="F2" s="1" t="s">
        <v>5</v>
      </c>
      <c r="H2" s="1" t="s">
        <v>9</v>
      </c>
    </row>
    <row r="3" spans="1:9" x14ac:dyDescent="0.45">
      <c r="A3" s="1"/>
      <c r="B3" s="8">
        <f>DATE(2024,9,23) + ((C1-1)*7)</f>
        <v>45831</v>
      </c>
      <c r="C3" s="8">
        <f>B3+1</f>
        <v>45832</v>
      </c>
      <c r="D3" s="8">
        <f>C3+1</f>
        <v>45833</v>
      </c>
      <c r="E3" s="8">
        <f>D3+1</f>
        <v>45834</v>
      </c>
      <c r="F3" s="8">
        <f>E3+1</f>
        <v>45835</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c r="D28" s="19"/>
      <c r="E28" s="19" t="s">
        <v>54</v>
      </c>
      <c r="F28" s="16" t="s">
        <v>46</v>
      </c>
    </row>
    <row r="29" spans="1:6" ht="39.950000000000003" customHeight="1" x14ac:dyDescent="0.45">
      <c r="A29" s="11"/>
      <c r="B29" s="19"/>
      <c r="C29" s="19"/>
      <c r="D29" s="19"/>
      <c r="E29" s="19"/>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2025-03-14T14:14:54Z</dcterms:modified>
</cp:coreProperties>
</file>